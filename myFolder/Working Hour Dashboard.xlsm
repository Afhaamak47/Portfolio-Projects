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Excel Projects\"/>
    </mc:Choice>
  </mc:AlternateContent>
  <xr:revisionPtr revIDLastSave="0" documentId="13_ncr:1_{EC5643ED-DEC4-4C53-AA80-560CC2500C68}" xr6:coauthVersionLast="47" xr6:coauthVersionMax="47" xr10:uidLastSave="{00000000-0000-0000-0000-000000000000}"/>
  <bookViews>
    <workbookView xWindow="-108" yWindow="-108" windowWidth="23256" windowHeight="12456" tabRatio="746" firstSheet="1" activeTab="3" xr2:uid="{92276BE4-0238-4935-B215-B277431CAC0F}"/>
  </bookViews>
  <sheets>
    <sheet name="Break" sheetId="1" r:id="rId1"/>
    <sheet name="Efficiency" sheetId="2" r:id="rId2"/>
    <sheet name="OverAll Performance" sheetId="3" r:id="rId3"/>
    <sheet name="Dashboard2" sheetId="7" r:id="rId4"/>
    <sheet name="Summary" sheetId="4" r:id="rId5"/>
    <sheet name="Dashboard" sheetId="5" r:id="rId6"/>
  </sheets>
  <externalReferences>
    <externalReference r:id="rId7"/>
  </externalReferences>
  <definedNames>
    <definedName name="_xlnm._FilterDatabase" localSheetId="4" hidden="1">Summary!$A$2:$A$150</definedName>
    <definedName name="BData">Break!$A:$I</definedName>
    <definedName name="Break">Break!$A$1:$I$150</definedName>
    <definedName name="EData">Efficiency!$A:$Q</definedName>
    <definedName name="Efficieny">Efficiency!$A$1:$Q$150</definedName>
    <definedName name="Over">'OverAll Performance'!$A$1:$J$150</definedName>
    <definedName name="PData">'OverAll Performance'!$A:$J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I5" i="4"/>
  <c r="I3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<sst xmlns="http://schemas.openxmlformats.org/spreadsheetml/2006/main" count="2461" uniqueCount="1020">
  <si>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</si>
  <si>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</si>
  <si>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</si>
  <si>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</si>
  <si>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</si>
  <si>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</si>
  <si>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</si>
  <si>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</si>
  <si>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</si>
  <si>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</si>
  <si>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</si>
  <si>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</si>
  <si>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</si>
  <si>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</si>
  <si>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</si>
  <si>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</si>
  <si>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</si>
  <si>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</si>
  <si>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</si>
  <si>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</si>
  <si>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</si>
  <si>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</si>
  <si>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</si>
  <si>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</si>
  <si>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</si>
  <si>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</si>
  <si>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</si>
  <si>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</si>
  <si>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</si>
  <si>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</si>
  <si>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</si>
  <si>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</si>
  <si>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</si>
  <si>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</si>
  <si>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</si>
  <si>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</si>
  <si>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</si>
  <si>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</si>
  <si>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</si>
  <si>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</si>
  <si>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</si>
  <si>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</si>
  <si>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</si>
  <si>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</si>
  <si>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</si>
  <si>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</si>
  <si>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</si>
  <si>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</si>
  <si>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</si>
  <si>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</si>
  <si>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</si>
  <si>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</si>
  <si>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</si>
  <si>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</si>
  <si>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</si>
  <si>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</si>
  <si>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</si>
  <si>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</si>
  <si>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</si>
  <si>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</si>
  <si>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</si>
  <si>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</si>
  <si>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</si>
  <si>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</si>
  <si>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</si>
  <si>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</si>
  <si>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</si>
  <si>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</si>
  <si>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</si>
  <si>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</si>
  <si>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</si>
  <si>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</si>
  <si>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</si>
  <si>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</si>
  <si>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</si>
  <si>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</si>
  <si>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</si>
  <si>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</si>
  <si>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</si>
  <si>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</si>
  <si>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</si>
  <si>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</si>
  <si>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</si>
  <si>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</si>
  <si>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</si>
  <si>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</si>
  <si>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</si>
  <si>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</si>
  <si>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</si>
  <si>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</si>
  <si>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</si>
  <si>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</si>
  <si>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</si>
  <si>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</si>
  <si>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</si>
  <si>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</si>
  <si>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</si>
  <si>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</si>
  <si>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</si>
  <si>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</si>
  <si>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</si>
  <si>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</si>
  <si>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</si>
  <si>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</si>
  <si>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</si>
  <si>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</si>
  <si>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</si>
  <si>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</si>
  <si>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</si>
  <si>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</si>
  <si>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</si>
  <si>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</si>
  <si>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</si>
  <si>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</si>
  <si>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</si>
  <si>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</si>
  <si>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</si>
  <si>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</si>
  <si>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</si>
  <si>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</si>
  <si>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</si>
  <si>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</si>
  <si>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</si>
  <si>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</si>
  <si>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</si>
  <si>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</si>
  <si>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</si>
  <si>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</si>
  <si>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</si>
  <si>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</si>
  <si>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</si>
  <si>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</si>
  <si>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</si>
  <si>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</si>
  <si>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</si>
  <si>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</si>
  <si>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</si>
  <si>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</si>
  <si>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</si>
  <si>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</si>
  <si>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</si>
  <si>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</si>
  <si>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</si>
  <si>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</si>
  <si>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</si>
  <si>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</si>
  <si>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</si>
  <si>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</si>
  <si>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</si>
  <si>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</si>
  <si>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</si>
  <si>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</si>
  <si>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</si>
  <si>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</si>
  <si>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</si>
  <si>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</si>
  <si>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</si>
  <si>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</si>
  <si>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</si>
  <si>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</si>
  <si>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</si>
  <si>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</si>
  <si>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</si>
  <si>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</si>
  <si>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</si>
  <si>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</si>
  <si>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</si>
  <si>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</si>
  <si>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</si>
  <si>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</si>
  <si>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</si>
  <si>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</si>
  <si>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</si>
  <si>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</si>
  <si>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</si>
  <si>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</si>
  <si>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</si>
  <si>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</si>
  <si>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</si>
  <si>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</si>
  <si>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</si>
  <si>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</si>
  <si>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</si>
  <si>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</si>
  <si>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</si>
  <si>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</si>
  <si>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</si>
  <si>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</si>
  <si>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</si>
  <si>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</si>
  <si>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</si>
  <si>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</si>
  <si>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</si>
  <si>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</si>
  <si>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</si>
  <si>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</si>
  <si>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</si>
  <si>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</si>
  <si>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</si>
  <si>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</si>
  <si>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</si>
  <si>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</si>
  <si>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</si>
  <si>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</si>
  <si>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</si>
  <si>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</si>
  <si>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</si>
  <si>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</si>
  <si>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</si>
  <si>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</si>
  <si>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</si>
  <si>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</si>
  <si>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</si>
  <si>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</si>
  <si>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</si>
  <si>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</si>
  <si>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</si>
  <si>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</si>
  <si>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</si>
  <si>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</si>
  <si>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</si>
  <si>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</si>
  <si>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</si>
  <si>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</si>
  <si>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</si>
  <si>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</si>
  <si>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</si>
  <si>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</si>
  <si>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</si>
  <si>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</si>
  <si>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</si>
  <si>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</si>
  <si>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</si>
  <si>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</si>
  <si>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</si>
  <si>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</si>
  <si>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</si>
  <si>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</si>
  <si>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</si>
  <si>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</si>
  <si>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</si>
  <si>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</si>
  <si>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</si>
  <si>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</si>
  <si>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</si>
  <si>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</si>
  <si>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</si>
  <si>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</si>
  <si>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</si>
  <si>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</si>
  <si>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</si>
  <si>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</si>
  <si>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</si>
  <si>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</si>
  <si>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</si>
  <si>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</si>
  <si>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</si>
  <si>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</si>
  <si>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</si>
  <si>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</si>
  <si>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</si>
  <si>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</si>
  <si>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</si>
  <si>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</si>
  <si>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</si>
  <si>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</si>
  <si>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</si>
  <si>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</si>
  <si>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</si>
  <si>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</si>
  <si>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</si>
  <si>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</si>
  <si>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</si>
  <si>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</si>
  <si>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</si>
  <si>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</si>
  <si>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</si>
  <si>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</si>
  <si>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</si>
  <si>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</si>
  <si>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</si>
  <si>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</si>
  <si>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</si>
  <si>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</si>
  <si>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</si>
  <si>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</si>
  <si>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</si>
  <si>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</si>
  <si>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</si>
  <si>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</si>
  <si>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</si>
  <si>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</si>
  <si>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</si>
  <si>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</si>
  <si>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</si>
  <si>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</si>
  <si>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</si>
  <si>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</si>
  <si>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</si>
  <si>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</si>
  <si>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</si>
  <si>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</si>
  <si>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</si>
  <si>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</si>
  <si>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</si>
  <si>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</si>
  <si>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</si>
  <si>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</si>
  <si>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</si>
  <si>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</si>
  <si>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</si>
  <si>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</si>
  <si>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</si>
  <si>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</si>
  <si>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</si>
  <si>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</si>
  <si>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</si>
  <si>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</si>
  <si>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</si>
  <si>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</si>
  <si>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</si>
  <si>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</si>
  <si>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</si>
  <si>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</si>
  <si>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</si>
  <si>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</si>
  <si>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</si>
  <si>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</si>
  <si>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</si>
  <si>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</si>
  <si>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</si>
  <si>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</si>
  <si>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</si>
  <si>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</si>
  <si>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</si>
  <si>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</si>
  <si>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</si>
  <si>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</si>
  <si>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</si>
  <si>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</si>
  <si>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</si>
  <si>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</si>
  <si>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</si>
  <si>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</si>
  <si>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</si>
  <si>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</si>
  <si>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</si>
  <si>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</si>
  <si>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</si>
  <si>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</si>
  <si>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</si>
  <si>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</si>
  <si>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</si>
  <si>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</si>
  <si>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</si>
  <si>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</si>
  <si>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</si>
  <si>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</si>
  <si>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</si>
  <si>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</si>
  <si>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</si>
  <si>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</si>
  <si>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</si>
  <si>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</si>
  <si>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</si>
  <si>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</si>
  <si>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</si>
  <si>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</si>
  <si>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</si>
  <si>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</si>
  <si>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</si>
  <si>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</si>
  <si>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</si>
  <si>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</si>
  <si>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</si>
  <si>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</si>
  <si>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</si>
  <si>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</si>
  <si>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</si>
  <si>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</si>
  <si>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</si>
  <si>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</si>
  <si>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</si>
  <si>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</si>
  <si>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</si>
  <si>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</si>
  <si>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</si>
  <si>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</si>
  <si>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</si>
  <si>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</si>
  <si>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</si>
  <si>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</si>
  <si>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</si>
  <si>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</si>
  <si>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</si>
  <si>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</si>
  <si>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</si>
  <si>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</si>
  <si>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</si>
  <si>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</si>
  <si>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</si>
  <si>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</si>
  <si>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</si>
  <si>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</si>
  <si>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</si>
  <si>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</si>
  <si>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</si>
  <si>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</si>
  <si>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</si>
  <si>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</si>
  <si>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</si>
  <si>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</si>
  <si>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</si>
  <si>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</si>
  <si>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</si>
  <si>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</si>
  <si>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</si>
  <si>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</si>
  <si>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</si>
  <si>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</si>
  <si>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</si>
  <si>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</si>
  <si>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</si>
  <si>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</si>
  <si>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</si>
  <si>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</si>
  <si>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</si>
  <si>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</si>
  <si>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</si>
  <si>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</si>
  <si>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</si>
  <si>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</si>
  <si>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</si>
  <si>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</si>
  <si>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</si>
  <si>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</si>
  <si>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</si>
  <si>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</si>
  <si>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</si>
  <si>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</si>
  <si>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</si>
  <si>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</si>
  <si>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</si>
  <si>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</si>
  <si>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</si>
  <si>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</si>
  <si>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</si>
  <si>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</si>
  <si>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</si>
  <si>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</si>
  <si>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</si>
  <si>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</si>
  <si>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</si>
  <si>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</si>
  <si>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</si>
  <si>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</si>
  <si>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</si>
  <si>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</si>
  <si>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</si>
  <si>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</si>
  <si>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</si>
  <si>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</si>
  <si>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</si>
  <si>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</si>
  <si>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</si>
  <si>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</si>
  <si>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</si>
  <si>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</si>
  <si>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</si>
  <si>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</si>
  <si>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</si>
  <si>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</si>
  <si>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</si>
  <si>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</si>
  <si>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</si>
  <si>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</si>
  <si>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</si>
  <si>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</si>
  <si>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</si>
  <si>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</si>
  <si>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</si>
  <si>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</si>
  <si>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</si>
  <si>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</si>
  <si>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</si>
  <si>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</si>
  <si>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</si>
  <si>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</si>
  <si>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</si>
  <si>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</si>
  <si>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</si>
  <si>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</si>
  <si>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</si>
  <si>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</si>
  <si>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</si>
  <si>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</si>
  <si>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</si>
  <si>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</si>
  <si>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</si>
  <si>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</si>
  <si>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</si>
  <si>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</si>
  <si>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</si>
  <si>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</si>
  <si>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</si>
  <si>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</si>
  <si>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</si>
  <si>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</si>
  <si>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</si>
  <si>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</si>
  <si>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</si>
  <si>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</si>
  <si>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</si>
  <si>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</si>
  <si>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</si>
  <si>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</si>
  <si>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</si>
  <si>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</si>
  <si>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</si>
  <si>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</si>
  <si>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</si>
  <si>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</si>
  <si>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</si>
  <si>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</si>
  <si>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</si>
  <si>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</si>
  <si>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</si>
  <si>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</si>
  <si>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</si>
  <si>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</si>
  <si>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</si>
  <si>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</si>
  <si>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</si>
  <si>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</si>
  <si>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</si>
  <si>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</si>
  <si>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</si>
  <si>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</si>
  <si>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</si>
  <si>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</si>
  <si>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</si>
  <si>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</si>
  <si>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</si>
  <si>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</si>
  <si>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</si>
  <si>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</si>
  <si>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</si>
  <si>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</si>
  <si>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</si>
  <si>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</si>
  <si>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</si>
  <si>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</si>
  <si>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</si>
  <si>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</si>
  <si>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</si>
  <si>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</si>
  <si>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</si>
  <si>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</si>
  <si>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</si>
  <si>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</si>
  <si>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</si>
  <si>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</si>
  <si>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</si>
  <si>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</si>
  <si>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</si>
  <si>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</si>
  <si>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</si>
  <si>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</si>
  <si>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</si>
  <si>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</si>
  <si>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</si>
  <si>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</si>
  <si>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</si>
  <si>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</si>
  <si>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</si>
  <si>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</si>
  <si>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</si>
  <si>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</si>
  <si>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</si>
  <si>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</si>
  <si>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</si>
  <si>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</si>
  <si>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</si>
  <si>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</si>
  <si>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</si>
  <si>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</si>
  <si>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</si>
  <si>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</si>
  <si>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</si>
  <si>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</si>
  <si>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</si>
  <si>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</si>
  <si>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</si>
  <si>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</si>
  <si>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</si>
  <si>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</si>
  <si>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</si>
  <si>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</si>
  <si>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</si>
  <si>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</si>
  <si>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</si>
  <si>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</si>
  <si>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</si>
  <si>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</si>
  <si>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</si>
  <si>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</si>
  <si>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</si>
  <si>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</si>
  <si>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</si>
  <si>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</si>
  <si>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</si>
  <si>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</si>
  <si>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</si>
  <si>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</si>
  <si>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</si>
  <si>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</si>
  <si>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</si>
  <si>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</si>
  <si>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</si>
  <si>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</si>
  <si>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</si>
  <si>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</si>
  <si>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</si>
  <si>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</si>
  <si>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</si>
  <si>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</si>
  <si>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</si>
  <si>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</si>
  <si>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</si>
  <si>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</si>
  <si>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</si>
  <si>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</si>
  <si>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</si>
  <si>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</si>
  <si>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</si>
  <si>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</si>
  <si>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</si>
  <si>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</si>
  <si>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</si>
  <si>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</si>
  <si>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</si>
  <si>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</si>
  <si>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</si>
  <si>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</si>
  <si>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</si>
  <si>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</si>
  <si>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</si>
  <si>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</si>
  <si>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</si>
  <si>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</si>
  <si>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</si>
  <si>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</si>
  <si>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</si>
  <si>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</si>
  <si>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</si>
  <si>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</si>
  <si>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</si>
  <si>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</si>
  <si>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</si>
  <si>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</si>
  <si>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</si>
  <si>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</si>
  <si>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</si>
  <si>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</si>
  <si>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</si>
  <si>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</si>
  <si>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</si>
  <si>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</si>
  <si>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</si>
  <si>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</si>
  <si>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</si>
  <si>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</si>
  <si>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</si>
  <si>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</si>
  <si>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</si>
  <si>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</si>
  <si>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</si>
  <si>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</si>
  <si>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</si>
  <si>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</si>
  <si>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</si>
  <si>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</si>
  <si>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</si>
  <si>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</si>
  <si>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</si>
  <si>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</si>
  <si>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</si>
  <si>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</si>
  <si>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</si>
  <si>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</si>
  <si>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</si>
  <si>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</si>
  <si>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</si>
  <si>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</si>
  <si>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</si>
  <si>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</si>
  <si>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</si>
  <si>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</si>
  <si>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</si>
  <si>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</si>
  <si>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</si>
  <si>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</si>
  <si>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</si>
  <si>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</si>
  <si>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</si>
  <si>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</si>
  <si>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</si>
  <si>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</si>
  <si>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</si>
  <si>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</si>
  <si>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</si>
  <si>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</si>
  <si>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</si>
  <si>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</si>
  <si>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</si>
  <si>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</si>
  <si>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</si>
  <si>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</si>
  <si>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</si>
  <si>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</si>
  <si>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</si>
  <si>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</si>
  <si>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</si>
  <si>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</si>
  <si>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</si>
  <si>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</si>
  <si>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</si>
  <si>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</si>
  <si>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</si>
  <si>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</si>
  <si>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</si>
  <si>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</si>
  <si>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</si>
  <si>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</si>
  <si>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</si>
  <si>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</si>
  <si>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</si>
  <si>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</si>
  <si>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</si>
  <si>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</si>
  <si>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</si>
  <si>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</si>
  <si>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</si>
  <si>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</si>
  <si>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</si>
  <si>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</si>
  <si>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</si>
  <si>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</si>
  <si>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</si>
  <si>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</si>
  <si>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</si>
  <si>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</si>
  <si>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</si>
  <si>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</si>
  <si>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</si>
  <si>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</si>
  <si>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</si>
  <si>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</si>
  <si>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</si>
  <si>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</si>
  <si>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</si>
  <si>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</si>
  <si>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</si>
  <si>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</si>
  <si>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</si>
  <si>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</si>
  <si>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</si>
  <si>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</si>
  <si>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</si>
  <si>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</si>
  <si>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</si>
  <si>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</si>
  <si>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</si>
  <si>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</si>
  <si>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</si>
  <si>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</si>
  <si>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</si>
  <si>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</si>
  <si>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</si>
  <si>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</si>
  <si>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</si>
  <si>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</si>
  <si>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</si>
  <si>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</si>
  <si>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</si>
  <si>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</si>
  <si>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</si>
  <si>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</si>
  <si>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</si>
  <si>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</si>
  <si>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</si>
  <si>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</si>
  <si>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</si>
  <si>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</si>
  <si>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</si>
  <si>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</si>
  <si>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</si>
  <si>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</si>
  <si>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</si>
  <si>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</si>
  <si>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</si>
  <si>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</si>
  <si>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</si>
  <si>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</si>
  <si>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</si>
  <si>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</si>
  <si>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</si>
  <si>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</si>
  <si>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</si>
  <si>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</si>
  <si>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</si>
  <si>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</si>
  <si>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</si>
  <si>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</si>
  <si>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</si>
  <si>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</si>
  <si>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</si>
  <si>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</si>
  <si>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</si>
  <si>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</si>
  <si>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</si>
  <si>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</si>
  <si>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</si>
  <si>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</si>
  <si>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</si>
  <si>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</si>
  <si>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</si>
  <si>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</si>
  <si>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</si>
  <si>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</si>
  <si>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</si>
  <si>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</si>
  <si>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</si>
  <si>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</si>
  <si>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</si>
  <si>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</si>
  <si>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</si>
  <si>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</si>
  <si>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</si>
  <si>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</si>
  <si>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</si>
  <si>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</si>
  <si>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</si>
  <si>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</si>
  <si>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</si>
  <si>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</si>
  <si>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</si>
  <si>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</si>
  <si>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</si>
  <si>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</si>
  <si>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</si>
  <si>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</si>
  <si>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</si>
  <si>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</si>
  <si>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</si>
  <si>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</si>
  <si>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</si>
  <si>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</si>
  <si>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</si>
  <si>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</si>
  <si>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</si>
  <si>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</si>
  <si>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</si>
  <si>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</si>
  <si>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</si>
  <si>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</si>
  <si>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</si>
  <si>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</si>
  <si>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</si>
  <si>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</si>
  <si>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</si>
  <si>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</si>
  <si>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</si>
  <si>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</si>
  <si>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</si>
  <si>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</si>
  <si>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</si>
  <si>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</si>
  <si>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</si>
  <si>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</si>
  <si>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</si>
  <si>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</si>
  <si>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</si>
  <si>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</si>
  <si>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</si>
  <si>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</si>
  <si>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</si>
  <si>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</si>
  <si>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</si>
  <si>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</si>
  <si>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</si>
  <si>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</si>
  <si>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</si>
  <si>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</si>
  <si>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</si>
  <si>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</si>
  <si>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</si>
  <si>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</si>
  <si>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</si>
  <si>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</si>
  <si>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</si>
  <si>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</si>
  <si>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</si>
  <si>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</si>
  <si>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</si>
  <si>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</si>
  <si>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</si>
  <si>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</si>
  <si>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</si>
  <si>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</si>
  <si>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</si>
  <si>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</si>
  <si>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</si>
  <si>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</si>
  <si>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</si>
  <si>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</si>
  <si>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</si>
  <si>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</si>
  <si>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</si>
  <si>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</si>
  <si>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</si>
  <si>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</si>
  <si>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</si>
  <si>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</si>
  <si>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</si>
  <si>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</si>
  <si>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</si>
  <si>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</si>
  <si>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</si>
  <si>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</si>
  <si>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</si>
  <si>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</si>
  <si>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</si>
  <si>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</si>
  <si>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</si>
  <si>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</si>
  <si>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</si>
  <si>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</si>
  <si>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</si>
  <si>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</si>
  <si>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</si>
  <si>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</si>
  <si>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</si>
  <si>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</si>
  <si>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</si>
  <si>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</si>
  <si>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</si>
  <si>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</si>
  <si>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</si>
  <si>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</si>
  <si>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</si>
  <si>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</si>
  <si>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</si>
  <si>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</si>
  <si>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</si>
  <si>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</si>
  <si>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</si>
  <si>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</si>
  <si>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</si>
  <si>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</si>
  <si>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</si>
  <si>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</si>
  <si>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</si>
  <si>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</si>
  <si>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</si>
  <si>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</si>
  <si>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</si>
  <si>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</si>
  <si>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</si>
  <si>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</si>
  <si>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</si>
  <si>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</si>
  <si>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</si>
  <si>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</si>
  <si>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</si>
  <si>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</si>
  <si>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</si>
  <si>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</si>
  <si>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</si>
  <si>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</si>
  <si>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</si>
  <si>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</si>
  <si>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</si>
  <si>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</si>
  <si>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</si>
  <si>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</si>
  <si>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</si>
  <si>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</si>
  <si>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</si>
  <si>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</si>
  <si>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</si>
  <si>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</si>
  <si>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</si>
  <si>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</si>
  <si>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</si>
  <si>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</si>
  <si>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</si>
  <si>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</si>
  <si>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</si>
  <si>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</si>
  <si>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</si>
  <si>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</si>
  <si>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</si>
  <si>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</si>
  <si>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</si>
  <si>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</si>
  <si>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</si>
  <si>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</si>
  <si>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</si>
  <si>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</si>
  <si>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</si>
  <si>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</si>
  <si>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</si>
  <si>
    <t>Sum of Total Number of woking hours</t>
  </si>
  <si>
    <t>Report of working emp</t>
  </si>
  <si>
    <t>Rajendra Prasad</t>
  </si>
  <si>
    <t>Rajshree Dhabekar</t>
  </si>
  <si>
    <t>Rakhi Jodhani</t>
  </si>
  <si>
    <t>Rohit Nishchal</t>
  </si>
  <si>
    <t>Sum of Total Break Taken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</si>
</sst>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  <font>
      <sz val="14.5"/>
      <color theme="0"/>
      <name val="Calibri"/>
      <family val="2"/>
      <scheme val="minor"/>
    </font>
    <font>
      <sz val="14.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10" fontId="0" fillId="0" borderId="0" xfId="1" applyNumberFormat="1" applyFont="1"/>
    <xf numFmtId="0" fontId="10" fillId="0" borderId="0" xfId="0" pivotButton="1" applyFont="1"/>
    <xf numFmtId="0" fontId="10" fillId="0" borderId="0" xfId="0" applyFont="1"/>
    <xf numFmtId="0" fontId="10" fillId="0" borderId="0" xfId="0" applyFont="1" applyAlignment="1">
      <alignment horizontal="left"/>
    </xf>
    <xf numFmtId="165" fontId="10" fillId="0" borderId="0" xfId="0" applyNumberFormat="1" applyFont="1"/>
    <xf numFmtId="0" fontId="9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8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3">
    <dxf>
      <font>
        <sz val="14.5"/>
      </font>
    </dxf>
    <dxf>
      <font>
        <sz val="14.5"/>
      </font>
    </dxf>
    <dxf>
      <font>
        <sz val="14.5"/>
      </font>
    </dxf>
    <dxf>
      <font>
        <sz val="14.5"/>
      </font>
    </dxf>
    <dxf>
      <font>
        <sz val="14.5"/>
      </font>
    </dxf>
    <dxf>
      <font>
        <sz val="14.5"/>
      </font>
    </dxf>
    <dxf>
      <numFmt numFmtId="165" formatCode="[$-F400]h:mm:ss\ AM/PM"/>
    </dxf>
    <dxf>
      <font>
        <sz val="14.5"/>
      </font>
    </dxf>
    <dxf>
      <font>
        <sz val="14.5"/>
      </font>
    </dxf>
    <dxf>
      <font>
        <sz val="14.5"/>
      </font>
    </dxf>
    <dxf>
      <font>
        <sz val="14.5"/>
      </font>
    </dxf>
    <dxf>
      <font>
        <sz val="14.5"/>
      </font>
    </dxf>
    <dxf>
      <font>
        <sz val="14.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[Working Hour Dashboard.xlsm]Dashboard2!PivotTable1</c:name>
    <c:fmtId val="0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3.9726869948851655E-2"/>
          <c:w val="0.97406615895495341"/>
          <c:h val="0.800381080782009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Dashboard2!$B$5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Dashboard2!$A$6:$A$10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Dashboard2!$B$6:$B$10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E-4B0E-AC86-11FCF686D25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20259727"/>
        <c:axId val="720247247"/>
      </c:barChart>
      <c:catAx>
        <c:axId val="720259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47247"/>
        <c:crosses val="autoZero"/>
        <c:auto val="1"/>
        <c:lblAlgn val="ctr"/>
        <c:lblOffset val="100"/>
        <c:noMultiLvlLbl val="0"/>
      </c:catAx>
      <c:valAx>
        <c:axId val="72024724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crossAx val="72025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[Working Hour Dashboard.xlsm]Dashboard2!PivotTable2</c:name>
    <c:fmtId val="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567457073719922"/>
          <c:y val="7.6599726784177549E-2"/>
          <c:w val="0.4596102678379983"/>
          <c:h val="0.89491120485770514"/>
        </c:manualLayout>
      </c:layout>
      <c:pieChart>
        <c:varyColors val="1"/>
        <c:ser>
          <c:idx val="0"/>
          <c:order val="0"/>
          <c:tx>
            <c:strRef>
              <c:f>Dashboard2!$G$5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6AA-4DEF-890B-D908EA99272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16-4DC9-AC55-25FD8914BE9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16-4DC9-AC55-25FD8914BE9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16-4DC9-AC55-25FD8914BE9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16-4DC9-AC55-25FD8914BE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Dashboard2!$F$6:$F$10</c:f>
              <c:strCache>
                <c:ptCount val="5"/>
                <c:pt idx="0">
                  <c:v>Ashok Kumar</c:v>
                </c:pt>
                <c:pt idx="1">
                  <c:v>Rajendra Prasad</c:v>
                </c:pt>
                <c:pt idx="2">
                  <c:v>Rajshree Dhabekar</c:v>
                </c:pt>
                <c:pt idx="3">
                  <c:v>Rakhi Jodhani</c:v>
                </c:pt>
                <c:pt idx="4">
                  <c:v>Rohit Nishchal</c:v>
                </c:pt>
              </c:strCache>
            </c:strRef>
          </c:cat>
          <c:val>
            <c:numRef>
              <c:f>Dashboard2!$G$6:$G$10</c:f>
              <c:numCache>
                <c:formatCode>[$-F400]h:mm:ss\ AM/PM</c:formatCode>
                <c:ptCount val="5"/>
                <c:pt idx="0">
                  <c:v>0.299375</c:v>
                </c:pt>
                <c:pt idx="1">
                  <c:v>0.29744212962962963</c:v>
                </c:pt>
                <c:pt idx="2">
                  <c:v>0.34385416666666668</c:v>
                </c:pt>
                <c:pt idx="3">
                  <c:v>0.27759259259259261</c:v>
                </c:pt>
                <c:pt idx="4">
                  <c:v>0.34513888888888888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A-4DEF-890B-D908EA992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[Working Hour Dashboard.xlsm]Dashboard!PivotTable4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[Working Hour Dashboard.xlsm]Dashboard!PivotTable5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94-477A-998A-B42D2A81A9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94-477A-998A-B42D2A81A9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94-477A-998A-B42D2A81A9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94-477A-998A-B42D2A81A9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F3-4968-BC1B-0B04EB0315C8}"/>
              </c:ext>
            </c:extLst>
          </c:dPt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E$1" max="30000" min="1" page="10" val="5"/>
</file>

<file path=xl/ctrlProps/ctrlProp2.xml><?xml version="1.0" encoding="utf-8"?>
<formControlPr xmlns="http://schemas.microsoft.com/office/spreadsheetml/2009/9/main" objectType="Spin" dx="22" fmlaLink="$E$1" max="30000" min="1" page="10" val="5"/>
</file>

<file path=xl/ctrlProps/ctrlProp3.xml><?xml version="1.0" encoding="utf-8"?>
<formControlPr xmlns="http://schemas.microsoft.com/office/spreadsheetml/2009/9/main" objectType="Spin" dx="22" fmlaLink="$E$2" max="30000" min="1" page="10" val="5"/>
</file>

<file path=xl/ctrlProps/ctrlProp4.xml><?xml version="1.0" encoding="utf-8"?>
<formControlPr xmlns="http://schemas.microsoft.com/office/spreadsheetml/2009/9/main" objectType="Spin" dx="26" fmlaLink="$C$1" max="200" min="1" page="10" val="5"/>
</file>

<file path=xl/ctrlProps/ctrlProp5.xml><?xml version="1.0" encoding="utf-8"?>
<formControlPr xmlns="http://schemas.microsoft.com/office/spreadsheetml/2009/9/main" objectType="Spin" dx="26" fmlaLink="$C$1" max="200" min="1" page="10" val="5"/>
</file>

<file path=xl/ctrlProps/ctrlProp6.xml><?xml version="1.0" encoding="utf-8"?>
<formControlPr xmlns="http://schemas.microsoft.com/office/spreadsheetml/2009/9/main" objectType="Spin" dx="26" fmlaLink="$C$2" max="200" min="1" page="10" val="5"/>
</file>

<file path=xl/ctrlProps/ctrlProp7.xml><?xml version="1.0" encoding="utf-8"?>
<formControlPr xmlns="http://schemas.microsoft.com/office/spreadsheetml/2009/9/main" objectType="Spin" dx="26" fmlaLink="$C$2" max="2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21199</xdr:colOff>
      <xdr:row>28</xdr:row>
      <xdr:rowOff>68211</xdr:rowOff>
    </xdr:from>
    <xdr:to>
      <xdr:col>13</xdr:col>
      <xdr:colOff>559516</xdr:colOff>
      <xdr:row>31</xdr:row>
      <xdr:rowOff>30726</xdr:rowOff>
    </xdr:to>
    <xdr:sp macro="" textlink="$E$1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528014" y="6966155"/>
          <a:ext cx="1152833" cy="69993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554C6EB-9605-4C3A-B257-99CADB757E27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</a:t>
          </a:fld>
          <a:endParaRPr lang="en-IN" sz="2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28</xdr:row>
          <xdr:rowOff>83820</xdr:rowOff>
        </xdr:from>
        <xdr:to>
          <xdr:col>12</xdr:col>
          <xdr:colOff>403860</xdr:colOff>
          <xdr:row>30</xdr:row>
          <xdr:rowOff>198120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76200</xdr:colOff>
      <xdr:row>0</xdr:row>
      <xdr:rowOff>57150</xdr:rowOff>
    </xdr:from>
    <xdr:to>
      <xdr:col>1</xdr:col>
      <xdr:colOff>485776</xdr:colOff>
      <xdr:row>2</xdr:row>
      <xdr:rowOff>285750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6200" y="57150"/>
          <a:ext cx="1628776" cy="609600"/>
        </a:xfrm>
        <a:prstGeom prst="rightArrow">
          <a:avLst>
            <a:gd name="adj1" fmla="val 100000"/>
            <a:gd name="adj2" fmla="val 76531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CHARTS</a:t>
          </a:r>
          <a:endParaRPr lang="en-IN" sz="1100"/>
        </a:p>
      </xdr:txBody>
    </xdr:sp>
    <xdr:clientData/>
  </xdr:twoCellAnchor>
  <xdr:twoCellAnchor>
    <xdr:from>
      <xdr:col>1</xdr:col>
      <xdr:colOff>1143000</xdr:colOff>
      <xdr:row>0</xdr:row>
      <xdr:rowOff>142875</xdr:rowOff>
    </xdr:from>
    <xdr:to>
      <xdr:col>1</xdr:col>
      <xdr:colOff>2286000</xdr:colOff>
      <xdr:row>2</xdr:row>
      <xdr:rowOff>266700</xdr:rowOff>
    </xdr:to>
    <xdr:sp macro="" textlink="$E$1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7000" y="142875"/>
          <a:ext cx="1143000" cy="5048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554C6EB-9605-4C3A-B257-99CADB757E27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</a:t>
          </a:fld>
          <a:endParaRPr lang="en-IN" sz="2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1188720</xdr:colOff>
          <xdr:row>1</xdr:row>
          <xdr:rowOff>7620</xdr:rowOff>
        </xdr:from>
        <xdr:to>
          <xdr:col>1</xdr:col>
          <xdr:colOff>1516380</xdr:colOff>
          <xdr:row>2</xdr:row>
          <xdr:rowOff>236220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599154</xdr:colOff>
      <xdr:row>0</xdr:row>
      <xdr:rowOff>167148</xdr:rowOff>
    </xdr:from>
    <xdr:to>
      <xdr:col>1</xdr:col>
      <xdr:colOff>1038227</xdr:colOff>
      <xdr:row>2</xdr:row>
      <xdr:rowOff>204679</xdr:rowOff>
    </xdr:to>
    <xdr:pic macro="[0]!Show"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823" y="167148"/>
          <a:ext cx="439073" cy="406241"/>
        </a:xfrm>
        <a:prstGeom prst="rect">
          <a:avLst/>
        </a:prstGeom>
      </xdr:spPr>
    </xdr:pic>
    <xdr:clientData/>
  </xdr:twoCellAnchor>
  <xdr:twoCellAnchor editAs="oneCell">
    <xdr:from>
      <xdr:col>1</xdr:col>
      <xdr:colOff>561975</xdr:colOff>
      <xdr:row>0</xdr:row>
      <xdr:rowOff>142875</xdr:rowOff>
    </xdr:from>
    <xdr:to>
      <xdr:col>1</xdr:col>
      <xdr:colOff>1038225</xdr:colOff>
      <xdr:row>2</xdr:row>
      <xdr:rowOff>238125</xdr:rowOff>
    </xdr:to>
    <xdr:pic macro="[0]!_xludf.Hide"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142875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2409823</xdr:colOff>
      <xdr:row>0</xdr:row>
      <xdr:rowOff>76200</xdr:rowOff>
    </xdr:from>
    <xdr:to>
      <xdr:col>1</xdr:col>
      <xdr:colOff>4076699</xdr:colOff>
      <xdr:row>2</xdr:row>
      <xdr:rowOff>304800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flipH="1">
          <a:off x="3629023" y="76200"/>
          <a:ext cx="1666876" cy="609600"/>
        </a:xfrm>
        <a:prstGeom prst="rightArrow">
          <a:avLst>
            <a:gd name="adj1" fmla="val 100000"/>
            <a:gd name="adj2" fmla="val 76531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Reports</a:t>
          </a:r>
        </a:p>
      </xdr:txBody>
    </xdr:sp>
    <xdr:clientData/>
  </xdr:twoCellAnchor>
  <xdr:twoCellAnchor>
    <xdr:from>
      <xdr:col>0</xdr:col>
      <xdr:colOff>47624</xdr:colOff>
      <xdr:row>12</xdr:row>
      <xdr:rowOff>99218</xdr:rowOff>
    </xdr:from>
    <xdr:to>
      <xdr:col>2</xdr:col>
      <xdr:colOff>59532</xdr:colOff>
      <xdr:row>22</xdr:row>
      <xdr:rowOff>219075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0</xdr:row>
      <xdr:rowOff>76815</xdr:rowOff>
    </xdr:from>
    <xdr:to>
      <xdr:col>6</xdr:col>
      <xdr:colOff>240584</xdr:colOff>
      <xdr:row>2</xdr:row>
      <xdr:rowOff>305415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205202" y="76815"/>
          <a:ext cx="1623245" cy="597310"/>
        </a:xfrm>
        <a:prstGeom prst="rightArrow">
          <a:avLst>
            <a:gd name="adj1" fmla="val 100000"/>
            <a:gd name="adj2" fmla="val 76531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CHARTS</a:t>
          </a:r>
          <a:endParaRPr lang="en-IN" sz="1100"/>
        </a:p>
      </xdr:txBody>
    </xdr:sp>
    <xdr:clientData/>
  </xdr:twoCellAnchor>
  <xdr:twoCellAnchor>
    <xdr:from>
      <xdr:col>6</xdr:col>
      <xdr:colOff>2135442</xdr:colOff>
      <xdr:row>0</xdr:row>
      <xdr:rowOff>92177</xdr:rowOff>
    </xdr:from>
    <xdr:to>
      <xdr:col>6</xdr:col>
      <xdr:colOff>3779273</xdr:colOff>
      <xdr:row>2</xdr:row>
      <xdr:rowOff>320777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flipH="1">
          <a:off x="10723305" y="92177"/>
          <a:ext cx="1643831" cy="597310"/>
        </a:xfrm>
        <a:prstGeom prst="rightArrow">
          <a:avLst>
            <a:gd name="adj1" fmla="val 100000"/>
            <a:gd name="adj2" fmla="val 76531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Reports</a:t>
          </a:r>
          <a:endParaRPr lang="en-IN" sz="1100"/>
        </a:p>
      </xdr:txBody>
    </xdr:sp>
    <xdr:clientData/>
  </xdr:twoCellAnchor>
  <xdr:twoCellAnchor editAs="oneCell">
    <xdr:from>
      <xdr:col>6</xdr:col>
      <xdr:colOff>291896</xdr:colOff>
      <xdr:row>0</xdr:row>
      <xdr:rowOff>153630</xdr:rowOff>
    </xdr:from>
    <xdr:to>
      <xdr:col>6</xdr:col>
      <xdr:colOff>768146</xdr:colOff>
      <xdr:row>2</xdr:row>
      <xdr:rowOff>248880</xdr:rowOff>
    </xdr:to>
    <xdr:pic macro="[0]!Hide2"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9759" y="153630"/>
          <a:ext cx="476250" cy="463960"/>
        </a:xfrm>
        <a:prstGeom prst="rect">
          <a:avLst/>
        </a:prstGeom>
      </xdr:spPr>
    </xdr:pic>
    <xdr:clientData/>
  </xdr:twoCellAnchor>
  <xdr:twoCellAnchor editAs="oneCell">
    <xdr:from>
      <xdr:col>6</xdr:col>
      <xdr:colOff>307578</xdr:colOff>
      <xdr:row>1</xdr:row>
      <xdr:rowOff>0</xdr:rowOff>
    </xdr:from>
    <xdr:to>
      <xdr:col>6</xdr:col>
      <xdr:colOff>746651</xdr:colOff>
      <xdr:row>2</xdr:row>
      <xdr:rowOff>210045</xdr:rowOff>
    </xdr:to>
    <xdr:pic macro="[0]!Show2"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0156" y="188516"/>
          <a:ext cx="439073" cy="398560"/>
        </a:xfrm>
        <a:prstGeom prst="rect">
          <a:avLst/>
        </a:prstGeom>
      </xdr:spPr>
    </xdr:pic>
    <xdr:clientData/>
  </xdr:twoCellAnchor>
  <xdr:twoCellAnchor>
    <xdr:from>
      <xdr:col>6</xdr:col>
      <xdr:colOff>897193</xdr:colOff>
      <xdr:row>0</xdr:row>
      <xdr:rowOff>142875</xdr:rowOff>
    </xdr:from>
    <xdr:to>
      <xdr:col>6</xdr:col>
      <xdr:colOff>2040193</xdr:colOff>
      <xdr:row>2</xdr:row>
      <xdr:rowOff>266700</xdr:rowOff>
    </xdr:to>
    <xdr:sp macro="" textlink="$E$2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9485056" y="142875"/>
          <a:ext cx="1143000" cy="49253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C541E0B-0DF1-42DC-A94F-9CEA0E59F69C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</a:t>
          </a:fld>
          <a:endParaRPr lang="en-IN" sz="4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944880</xdr:colOff>
          <xdr:row>1</xdr:row>
          <xdr:rowOff>7620</xdr:rowOff>
        </xdr:from>
        <xdr:to>
          <xdr:col>6</xdr:col>
          <xdr:colOff>1264920</xdr:colOff>
          <xdr:row>2</xdr:row>
          <xdr:rowOff>236220</xdr:rowOff>
        </xdr:to>
        <xdr:sp macro="" textlink="">
          <xdr:nvSpPr>
            <xdr:cNvPr id="6147" name="Spinner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6912</xdr:colOff>
      <xdr:row>12</xdr:row>
      <xdr:rowOff>7219</xdr:rowOff>
    </xdr:from>
    <xdr:to>
      <xdr:col>7</xdr:col>
      <xdr:colOff>14402</xdr:colOff>
      <xdr:row>23</xdr:row>
      <xdr:rowOff>46548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44053</xdr:colOff>
      <xdr:row>11</xdr:row>
      <xdr:rowOff>91678</xdr:rowOff>
    </xdr:from>
    <xdr:to>
      <xdr:col>2</xdr:col>
      <xdr:colOff>23813</xdr:colOff>
      <xdr:row>19</xdr:row>
      <xdr:rowOff>182165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0</xdr:row>
          <xdr:rowOff>60960</xdr:rowOff>
        </xdr:from>
        <xdr:to>
          <xdr:col>1</xdr:col>
          <xdr:colOff>845820</xdr:colOff>
          <xdr:row>1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1950720</xdr:colOff>
          <xdr:row>9</xdr:row>
          <xdr:rowOff>68580</xdr:rowOff>
        </xdr:from>
        <xdr:to>
          <xdr:col>1</xdr:col>
          <xdr:colOff>2087880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5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0</xdr:row>
          <xdr:rowOff>45720</xdr:rowOff>
        </xdr:from>
        <xdr:to>
          <xdr:col>4</xdr:col>
          <xdr:colOff>556260</xdr:colOff>
          <xdr:row>1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1668780</xdr:colOff>
          <xdr:row>9</xdr:row>
          <xdr:rowOff>76200</xdr:rowOff>
        </xdr:from>
        <xdr:to>
          <xdr:col>4</xdr:col>
          <xdr:colOff>1813560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9BD5F6-7ED0-45B2-9AE2-D4A237B04955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A5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Total Number of woking hours" fld="2" baseField="1" baseItem="0" numFmtId="165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8">
            <x v="7"/>
            <x v="15"/>
            <x v="52"/>
            <x v="85"/>
            <x v="109"/>
            <x v="117"/>
            <x v="126"/>
            <x v="137"/>
          </reference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1" type="count" evalOrder="-1" id="8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3DC89-15E0-47A1-AC96-F0F7D493A102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6">
  <location ref="F5:G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dataField="1" numFmtId="165" showAll="0"/>
    <pivotField showAll="0"/>
    <pivotField numFmtId="9" showAll="0"/>
  </pivotFields>
  <rowFields count="1">
    <field x="1"/>
  </rowFields>
  <rowItems count="5">
    <i>
      <x v="15"/>
    </i>
    <i>
      <x v="84"/>
    </i>
    <i>
      <x v="88"/>
    </i>
    <i>
      <x v="89"/>
    </i>
    <i>
      <x v="100"/>
    </i>
  </rowItems>
  <colItems count="1">
    <i/>
  </colItems>
  <dataFields count="1">
    <dataField name="Sum of Total Break Taken" fld="4" baseField="1" baseItem="2" numFmtId="165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8">
            <x v="7"/>
            <x v="15"/>
            <x v="52"/>
            <x v="85"/>
            <x v="109"/>
            <x v="117"/>
            <x v="126"/>
            <x v="137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1" type="count" evalOrder="-1" id="7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7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C5" sqref="C5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6" width="8.6640625" bestFit="1" customWidth="1"/>
    <col min="7" max="7" width="16.88671875" bestFit="1" customWidth="1"/>
    <col min="8" max="8" width="11.88671875" bestFit="1" customWidth="1"/>
    <col min="9" max="9" width="18.3320312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"/>
    </sheetView>
  </sheetViews>
  <sheetFormatPr defaultRowHeight="14.4"/>
  <cols>
    <col min="1" max="1" width="27" bestFit="1" customWidth="1"/>
    <col min="2" max="2" width="15.44140625" bestFit="1" customWidth="1"/>
    <col min="3" max="3" width="11.664062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3320312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3320312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33203125" bestFit="1" customWidth="1"/>
  </cols>
  <sheetData>
    <row r="1" spans="1:17" s="10" customFormat="1" ht="39.6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D8" sqref="D8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33203125" bestFit="1" customWidth="1"/>
    <col min="8" max="8" width="19.44140625" bestFit="1" customWidth="1"/>
    <col min="9" max="9" width="18.6640625" bestFit="1" customWidth="1"/>
    <col min="10" max="10" width="16" bestFit="1" customWidth="1"/>
  </cols>
  <sheetData>
    <row r="1" spans="1:10" ht="26.4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409D2-A52B-4A7E-AF9E-9A6F96FBE8F0}">
  <sheetPr codeName="Sheet6"/>
  <dimension ref="A1:G146"/>
  <sheetViews>
    <sheetView showGridLines="0" showRowColHeaders="0" tabSelected="1" zoomScale="80" zoomScaleNormal="80" workbookViewId="0">
      <selection activeCell="G11" sqref="G11"/>
    </sheetView>
  </sheetViews>
  <sheetFormatPr defaultRowHeight="14.4"/>
  <cols>
    <col min="1" max="1" width="18.33203125" bestFit="1" customWidth="1"/>
    <col min="2" max="2" width="62.109375" customWidth="1"/>
    <col min="6" max="6" width="20.6640625" bestFit="1" customWidth="1"/>
    <col min="7" max="7" width="56.88671875" customWidth="1"/>
  </cols>
  <sheetData>
    <row r="1" spans="1:7">
      <c r="A1" s="24"/>
      <c r="B1" s="24"/>
      <c r="E1" s="16">
        <v>5</v>
      </c>
    </row>
    <row r="2" spans="1:7">
      <c r="E2" s="16">
        <v>5</v>
      </c>
    </row>
    <row r="3" spans="1:7" ht="30" customHeight="1"/>
    <row r="4" spans="1:7" ht="18.600000000000001">
      <c r="A4" s="23" t="s">
        <v>1014</v>
      </c>
      <c r="B4" s="23"/>
      <c r="F4" s="23" t="s">
        <v>1014</v>
      </c>
      <c r="G4" s="23"/>
    </row>
    <row r="5" spans="1:7" ht="18.600000000000001">
      <c r="A5" s="19" t="s">
        <v>1003</v>
      </c>
      <c r="B5" s="20" t="s">
        <v>1013</v>
      </c>
      <c r="F5" s="19" t="s">
        <v>1003</v>
      </c>
      <c r="G5" s="20" t="s">
        <v>1019</v>
      </c>
    </row>
    <row r="6" spans="1:7" ht="18.600000000000001">
      <c r="A6" s="21" t="s">
        <v>1004</v>
      </c>
      <c r="B6" s="22">
        <v>1.3668402777777777</v>
      </c>
      <c r="F6" s="21" t="s">
        <v>1004</v>
      </c>
      <c r="G6" s="22">
        <v>0.299375</v>
      </c>
    </row>
    <row r="7" spans="1:7" ht="18.600000000000001">
      <c r="A7" s="21" t="s">
        <v>1005</v>
      </c>
      <c r="B7" s="22">
        <v>0.66396990740740736</v>
      </c>
      <c r="F7" s="21" t="s">
        <v>1015</v>
      </c>
      <c r="G7" s="22">
        <v>0.29744212962962963</v>
      </c>
    </row>
    <row r="8" spans="1:7" ht="18.600000000000001">
      <c r="A8" s="21" t="s">
        <v>1006</v>
      </c>
      <c r="B8" s="22">
        <v>0.67937500000000006</v>
      </c>
      <c r="F8" s="21" t="s">
        <v>1016</v>
      </c>
      <c r="G8" s="22">
        <v>0.34385416666666668</v>
      </c>
    </row>
    <row r="9" spans="1:7" ht="18.600000000000001">
      <c r="A9" s="21" t="s">
        <v>1007</v>
      </c>
      <c r="B9" s="22">
        <v>1.0142939814814815</v>
      </c>
      <c r="F9" s="21" t="s">
        <v>1017</v>
      </c>
      <c r="G9" s="22">
        <v>0.27759259259259261</v>
      </c>
    </row>
    <row r="10" spans="1:7" ht="18.600000000000001">
      <c r="A10" s="21" t="s">
        <v>1008</v>
      </c>
      <c r="B10" s="22">
        <v>0.67259259259259263</v>
      </c>
      <c r="F10" s="21" t="s">
        <v>1018</v>
      </c>
      <c r="G10" s="22">
        <v>0.34513888888888888</v>
      </c>
    </row>
    <row r="11" spans="1:7" ht="18.600000000000001"/>
    <row r="12" spans="1:7" ht="18.600000000000001"/>
    <row r="13" spans="1:7" ht="18.600000000000001"/>
    <row r="14" spans="1:7" ht="18.600000000000001"/>
    <row r="15" spans="1:7" ht="18.600000000000001"/>
    <row r="16" spans="1:7" ht="18.600000000000001"/>
    <row r="17" ht="18.600000000000001"/>
    <row r="18" ht="18.600000000000001"/>
    <row r="19" ht="18.600000000000001"/>
    <row r="20" ht="18.600000000000001"/>
    <row r="21" ht="18.600000000000001"/>
    <row r="22" ht="18.600000000000001"/>
    <row r="23" ht="18.600000000000001"/>
    <row r="24" ht="18.600000000000001"/>
    <row r="25" ht="18.600000000000001"/>
    <row r="26" ht="18.600000000000001"/>
    <row r="27" ht="18.600000000000001"/>
    <row r="28" ht="18.600000000000001"/>
    <row r="29" ht="18.600000000000001"/>
    <row r="30" ht="18.600000000000001"/>
    <row r="31" ht="18.600000000000001"/>
    <row r="32" ht="18.600000000000001"/>
    <row r="33" ht="18.600000000000001"/>
    <row r="34" ht="18.600000000000001"/>
    <row r="35" ht="18.600000000000001"/>
    <row r="36" ht="18.600000000000001"/>
    <row r="37" ht="18.600000000000001"/>
    <row r="38" ht="18.600000000000001"/>
    <row r="39" ht="18.600000000000001"/>
    <row r="40" ht="18.600000000000001"/>
    <row r="41" ht="18.600000000000001"/>
    <row r="42" ht="18.600000000000001"/>
    <row r="43" ht="18.600000000000001"/>
    <row r="44" ht="18.600000000000001"/>
    <row r="45" ht="18.600000000000001"/>
    <row r="46" ht="18.600000000000001"/>
    <row r="47" ht="18.600000000000001"/>
    <row r="48" ht="18.600000000000001"/>
    <row r="49" ht="18.600000000000001"/>
    <row r="50" ht="18.600000000000001"/>
    <row r="51" ht="18.600000000000001"/>
    <row r="52" ht="18.600000000000001"/>
    <row r="53" ht="18.600000000000001"/>
    <row r="54" ht="18.600000000000001"/>
    <row r="55" ht="18.600000000000001"/>
    <row r="56" ht="18.600000000000001"/>
    <row r="57" ht="18.600000000000001"/>
    <row r="58" ht="18.600000000000001"/>
    <row r="59" ht="18.600000000000001"/>
    <row r="60" ht="18.600000000000001"/>
    <row r="61" ht="18.600000000000001"/>
    <row r="62" ht="18.600000000000001"/>
    <row r="63" ht="18.600000000000001"/>
    <row r="64" ht="18.600000000000001"/>
    <row r="65" ht="18.600000000000001"/>
    <row r="66" ht="18.600000000000001"/>
    <row r="67" ht="18.600000000000001"/>
    <row r="68" ht="18.600000000000001"/>
    <row r="69" ht="18.600000000000001"/>
    <row r="70" ht="18.600000000000001"/>
    <row r="71" ht="18.600000000000001"/>
    <row r="72" ht="18.600000000000001"/>
    <row r="73" ht="18.600000000000001"/>
    <row r="74" ht="18.600000000000001"/>
    <row r="75" ht="18.600000000000001"/>
    <row r="76" ht="18.600000000000001"/>
    <row r="77" ht="18.600000000000001"/>
    <row r="78" ht="18.600000000000001"/>
    <row r="79" ht="18.600000000000001"/>
    <row r="80" ht="18.600000000000001"/>
    <row r="81" ht="18.600000000000001"/>
    <row r="82" ht="18.600000000000001"/>
    <row r="83" ht="18.600000000000001"/>
    <row r="84" ht="18.600000000000001"/>
    <row r="85" ht="18.600000000000001"/>
    <row r="86" ht="18.600000000000001"/>
    <row r="87" ht="18.600000000000001"/>
    <row r="88" ht="18.600000000000001"/>
    <row r="89" ht="18.600000000000001"/>
    <row r="90" ht="18.600000000000001"/>
    <row r="91" ht="18.600000000000001"/>
    <row r="92" ht="18.600000000000001"/>
    <row r="93" ht="18.600000000000001"/>
    <row r="94" ht="18.600000000000001"/>
    <row r="95" ht="18.600000000000001"/>
    <row r="96" ht="18.600000000000001"/>
    <row r="97" ht="18.600000000000001"/>
    <row r="98" ht="18.600000000000001"/>
    <row r="99" ht="18.600000000000001"/>
    <row r="100" ht="18.600000000000001"/>
    <row r="101" ht="18.600000000000001"/>
    <row r="102" ht="18.600000000000001"/>
    <row r="103" ht="18.600000000000001"/>
    <row r="104" ht="18.600000000000001"/>
    <row r="105" ht="18.600000000000001"/>
    <row r="106" ht="18.600000000000001"/>
    <row r="107" ht="18.600000000000001"/>
    <row r="108" ht="18.600000000000001"/>
    <row r="109" ht="18.600000000000001"/>
    <row r="110" ht="18.600000000000001"/>
    <row r="111" ht="18.600000000000001"/>
    <row r="112" ht="18.600000000000001"/>
    <row r="113" ht="18.600000000000001"/>
    <row r="114" ht="18.600000000000001"/>
    <row r="115" ht="18.600000000000001"/>
    <row r="116" ht="18.600000000000001"/>
    <row r="117" ht="18.600000000000001"/>
    <row r="118" ht="18.600000000000001"/>
    <row r="119" ht="18.600000000000001"/>
    <row r="120" ht="18.600000000000001"/>
    <row r="121" ht="18.600000000000001"/>
    <row r="122" ht="18.600000000000001"/>
    <row r="123" ht="18.600000000000001"/>
    <row r="124" ht="18.600000000000001"/>
    <row r="125" ht="18.600000000000001"/>
    <row r="126" ht="18.600000000000001"/>
    <row r="127" ht="18.600000000000001"/>
    <row r="128" ht="18.600000000000001"/>
    <row r="129" ht="18.600000000000001"/>
    <row r="130" ht="18.600000000000001"/>
    <row r="131" ht="18.600000000000001"/>
    <row r="132" ht="18.600000000000001"/>
    <row r="133" ht="18.600000000000001"/>
    <row r="134" ht="18.600000000000001"/>
    <row r="135" ht="18.600000000000001"/>
    <row r="136" ht="18.600000000000001"/>
    <row r="137" ht="18.600000000000001"/>
    <row r="138" ht="18.600000000000001"/>
    <row r="139" ht="18.600000000000001"/>
    <row r="140" ht="18.600000000000001"/>
    <row r="141" ht="18.600000000000001"/>
    <row r="142" ht="18.600000000000001"/>
    <row r="143" ht="18.600000000000001"/>
    <row r="144" ht="18.600000000000001"/>
    <row r="145" ht="18.600000000000001"/>
    <row r="146" ht="18.600000000000001"/>
  </sheetData>
  <mergeCells count="3">
    <mergeCell ref="A4:B4"/>
    <mergeCell ref="A1:B1"/>
    <mergeCell ref="F4:G4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Spinner 1">
              <controlPr defaultSize="0" autoPict="0" macro="[0]!Sin_code">
                <anchor moveWithCells="1" sizeWithCells="1">
                  <from>
                    <xdr:col>12</xdr:col>
                    <xdr:colOff>68580</xdr:colOff>
                    <xdr:row>28</xdr:row>
                    <xdr:rowOff>83820</xdr:rowOff>
                  </from>
                  <to>
                    <xdr:col>12</xdr:col>
                    <xdr:colOff>403860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Spinner 2">
              <controlPr defaultSize="0" autoPict="0" macro="[0]!Sin_code">
                <anchor moveWithCells="1" sizeWithCells="1">
                  <from>
                    <xdr:col>1</xdr:col>
                    <xdr:colOff>1188720</xdr:colOff>
                    <xdr:row>1</xdr:row>
                    <xdr:rowOff>7620</xdr:rowOff>
                  </from>
                  <to>
                    <xdr:col>1</xdr:col>
                    <xdr:colOff>1516380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Spinner 3">
              <controlPr defaultSize="0" autoPict="0" macro="[0]!Connect">
                <anchor moveWithCells="1" sizeWithCells="1">
                  <from>
                    <xdr:col>6</xdr:col>
                    <xdr:colOff>944880</xdr:colOff>
                    <xdr:row>1</xdr:row>
                    <xdr:rowOff>7620</xdr:rowOff>
                  </from>
                  <to>
                    <xdr:col>6</xdr:col>
                    <xdr:colOff>1264920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I152"/>
  <sheetViews>
    <sheetView zoomScale="115" zoomScaleNormal="115" workbookViewId="0">
      <selection activeCell="B7" sqref="A1:G150"/>
    </sheetView>
  </sheetViews>
  <sheetFormatPr defaultRowHeight="14.4"/>
  <cols>
    <col min="1" max="1" width="35.109375" bestFit="1" customWidth="1"/>
    <col min="2" max="2" width="21.5546875" bestFit="1" customWidth="1"/>
    <col min="3" max="3" width="29.88671875" customWidth="1"/>
    <col min="4" max="4" width="18.664062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9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9">
      <c r="A2" t="str">
        <f>Break!A2</f>
        <v>Mum_Abdul Hamid (1008512)</v>
      </c>
      <c r="B2" t="str">
        <f>MID(A2,FIND("_",A2,1)+1,FIND("(",A2,1)- FIND("_",A2,2)-1)</f>
        <v xml:space="preserve">Abdul Hamid </v>
      </c>
      <c r="C2" s="12">
        <f t="shared" ref="C2:C33" si="0">TIMEVALUE(VLOOKUP(A2,Efficieny,2,0))</f>
        <v>0.34424768518518517</v>
      </c>
      <c r="D2" s="12">
        <f>TIMEVALUE(VLOOKUP(Summary!A2,Efficieny,3,0))</f>
        <v>0.20693287037037036</v>
      </c>
      <c r="E2" s="12">
        <f>TIMEVALUE(VLOOKUP(Summary!A2,Break,9,0))</f>
        <v>4.7708333333333332E-2</v>
      </c>
      <c r="F2">
        <f t="shared" ref="F2:F33" si="1">VLOOKUP(A2,Over,2,0)</f>
        <v>98</v>
      </c>
      <c r="G2" s="18">
        <f t="shared" ref="G2:G33" si="2">VLOOKUP(A2,Efficieny,6,0)</f>
        <v>0.55697138822580095</v>
      </c>
    </row>
    <row r="3" spans="1:9">
      <c r="A3" t="str">
        <f>Break!A3</f>
        <v>Mum_Afzal Husain (1008513)</v>
      </c>
      <c r="B3" t="str">
        <f t="shared" ref="B3:B66" si="3">MID(A3,FIND("_",A3,1)+1,FIND("(",A3,1)- FIND("_",A3,2)-1)</f>
        <v xml:space="preserve">Afzal Husain </v>
      </c>
      <c r="C3" s="12">
        <f t="shared" si="0"/>
        <v>0.34416666666666668</v>
      </c>
      <c r="D3" s="12">
        <f>TIMEVALUE(VLOOKUP(Summary!A3,Efficieny,3,0))</f>
        <v>0.20733796296296295</v>
      </c>
      <c r="E3" s="12">
        <f>TIMEVALUE(VLOOKUP(Summary!A3,Break,9,0))</f>
        <v>4.8599537037037038E-2</v>
      </c>
      <c r="F3">
        <f t="shared" si="1"/>
        <v>23</v>
      </c>
      <c r="G3" s="18">
        <f t="shared" si="2"/>
        <v>0.58027306967984904</v>
      </c>
      <c r="H3" s="12"/>
      <c r="I3">
        <f>FIND("_",A2,1)</f>
        <v>4</v>
      </c>
    </row>
    <row r="4" spans="1:9">
      <c r="A4" t="str">
        <f>Break!A4</f>
        <v>Mum_Anamika Gupta (1008514)</v>
      </c>
      <c r="B4" t="str">
        <f t="shared" si="3"/>
        <v xml:space="preserve">Anamika Gupta </v>
      </c>
      <c r="C4" s="12">
        <f t="shared" si="0"/>
        <v>0.34510416666666671</v>
      </c>
      <c r="D4" s="12">
        <f>TIMEVALUE(VLOOKUP(Summary!A4,Efficieny,3,0))</f>
        <v>0.20109953703703706</v>
      </c>
      <c r="E4" s="12">
        <f>TIMEVALUE(VLOOKUP(Summary!A4,Break,9,0))</f>
        <v>5.1319444444444445E-2</v>
      </c>
      <c r="F4">
        <f t="shared" si="1"/>
        <v>28</v>
      </c>
      <c r="G4" s="18">
        <f t="shared" si="2"/>
        <v>0.51708756749505302</v>
      </c>
    </row>
    <row r="5" spans="1:9">
      <c r="A5" t="str">
        <f>Break!A5</f>
        <v>Mum_Anikuttan (1008515)</v>
      </c>
      <c r="B5" t="str">
        <f t="shared" si="3"/>
        <v xml:space="preserve">Anikuttan </v>
      </c>
      <c r="C5" s="12">
        <f t="shared" si="0"/>
        <v>0.34023148148148147</v>
      </c>
      <c r="D5" s="12">
        <f>TIMEVALUE(VLOOKUP(Summary!A5,Efficieny,3,0))</f>
        <v>0.17884259259259261</v>
      </c>
      <c r="E5" s="12">
        <f>TIMEVALUE(VLOOKUP(Summary!A5,Break,9,0))</f>
        <v>9.6550925925925915E-2</v>
      </c>
      <c r="F5">
        <f t="shared" si="1"/>
        <v>29</v>
      </c>
      <c r="G5" s="18">
        <f t="shared" si="2"/>
        <v>0.47720778337188702</v>
      </c>
      <c r="I5">
        <f>FIND("(",A2,1)</f>
        <v>17</v>
      </c>
    </row>
    <row r="6" spans="1:9">
      <c r="A6" t="str">
        <f>Break!A6</f>
        <v>Mum_Anil Kumar (1008516)</v>
      </c>
      <c r="B6" t="str">
        <f t="shared" si="3"/>
        <v xml:space="preserve">Anil Kumar </v>
      </c>
      <c r="C6" s="12">
        <f t="shared" si="0"/>
        <v>0.30603009259259256</v>
      </c>
      <c r="D6" s="12">
        <f>TIMEVALUE(VLOOKUP(Summary!A6,Efficieny,3,0))</f>
        <v>0.13870370370370369</v>
      </c>
      <c r="E6" s="12">
        <f>TIMEVALUE(VLOOKUP(Summary!A6,Break,9,0))</f>
        <v>0.12844907407407408</v>
      </c>
      <c r="F6">
        <f t="shared" si="1"/>
        <v>93</v>
      </c>
      <c r="G6" s="18">
        <f t="shared" si="2"/>
        <v>0.43288831738587802</v>
      </c>
    </row>
    <row r="7" spans="1:9">
      <c r="A7" t="str">
        <f>Break!A7</f>
        <v>Mum_Anita Dixit (1008517)</v>
      </c>
      <c r="B7" t="str">
        <f t="shared" si="3"/>
        <v xml:space="preserve">Anita Dixit </v>
      </c>
      <c r="C7" s="12">
        <f t="shared" si="0"/>
        <v>0.20843750000000003</v>
      </c>
      <c r="D7" s="12">
        <f>TIMEVALUE(VLOOKUP(Summary!A7,Efficieny,3,0))</f>
        <v>0.15369212962962964</v>
      </c>
      <c r="E7" s="12">
        <f>TIMEVALUE(VLOOKUP(Summary!A7,Break,9,0))</f>
        <v>1.8831018518518518E-2</v>
      </c>
      <c r="F7">
        <f t="shared" si="1"/>
        <v>92</v>
      </c>
      <c r="G7" s="18">
        <f t="shared" si="2"/>
        <v>0.65495030262646503</v>
      </c>
    </row>
    <row r="8" spans="1:9">
      <c r="A8" t="str">
        <f>Break!A8</f>
        <v>Mum_Anita Ghore (1008518)</v>
      </c>
      <c r="B8" t="str">
        <f t="shared" si="3"/>
        <v xml:space="preserve">Anita Ghore </v>
      </c>
      <c r="C8" s="12">
        <f t="shared" si="0"/>
        <v>0.34488425925925931</v>
      </c>
      <c r="D8" s="12">
        <f>TIMEVALUE(VLOOKUP(Summary!A8,Efficieny,3,0))</f>
        <v>0.17553240740740741</v>
      </c>
      <c r="E8" s="12">
        <f>TIMEVALUE(VLOOKUP(Summary!A8,Break,9,0))</f>
        <v>0.11229166666666668</v>
      </c>
      <c r="F8">
        <f t="shared" si="1"/>
        <v>26</v>
      </c>
      <c r="G8" s="18">
        <f t="shared" si="2"/>
        <v>0.49476474931203401</v>
      </c>
    </row>
    <row r="9" spans="1:9">
      <c r="A9" t="str">
        <f>Break!A9</f>
        <v>Mum_Anjali Deoram (1008519)</v>
      </c>
      <c r="B9" t="str">
        <f t="shared" si="3"/>
        <v xml:space="preserve">Anjali Deoram </v>
      </c>
      <c r="C9" s="12">
        <f t="shared" si="0"/>
        <v>0.38646990740740739</v>
      </c>
      <c r="D9" s="12">
        <f>TIMEVALUE(VLOOKUP(Summary!A9,Efficieny,3,0))</f>
        <v>0.24453703703703702</v>
      </c>
      <c r="E9" s="12">
        <f>TIMEVALUE(VLOOKUP(Summary!A9,Break,9,0))</f>
        <v>5.0810185185185187E-2</v>
      </c>
      <c r="F9">
        <f t="shared" si="1"/>
        <v>90</v>
      </c>
      <c r="G9" s="18">
        <f t="shared" si="2"/>
        <v>0.55128627474469205</v>
      </c>
    </row>
    <row r="10" spans="1:9">
      <c r="A10" t="str">
        <f>Break!A10</f>
        <v>Mum_Anjali Sahay (1008520)</v>
      </c>
      <c r="B10" t="str">
        <f t="shared" si="3"/>
        <v xml:space="preserve">Anjali Sahay </v>
      </c>
      <c r="C10" s="12">
        <f t="shared" si="0"/>
        <v>0.34256944444444448</v>
      </c>
      <c r="D10" s="12">
        <f>TIMEVALUE(VLOOKUP(Summary!A10,Efficieny,3,0))</f>
        <v>0.20311342592592593</v>
      </c>
      <c r="E10" s="12">
        <f>TIMEVALUE(VLOOKUP(Summary!A10,Break,9,0))</f>
        <v>4.628472222222222E-2</v>
      </c>
      <c r="F10">
        <f t="shared" si="1"/>
        <v>89</v>
      </c>
      <c r="G10" s="18">
        <f t="shared" si="2"/>
        <v>0.55206432867085597</v>
      </c>
    </row>
    <row r="11" spans="1:9">
      <c r="A11" t="str">
        <f>Break!A11</f>
        <v>Mum_Annu Latika (1008521)</v>
      </c>
      <c r="B11" t="str">
        <f t="shared" si="3"/>
        <v xml:space="preserve">Annu Latika </v>
      </c>
      <c r="C11" s="12">
        <f t="shared" si="0"/>
        <v>0.34769675925925925</v>
      </c>
      <c r="D11" s="12">
        <f>TIMEVALUE(VLOOKUP(Summary!A11,Efficieny,3,0))</f>
        <v>0.20702546296296295</v>
      </c>
      <c r="E11" s="12">
        <f>TIMEVALUE(VLOOKUP(Summary!A11,Break,9,0))</f>
        <v>4.8576388888888884E-2</v>
      </c>
      <c r="F11">
        <f t="shared" si="1"/>
        <v>54</v>
      </c>
      <c r="G11" s="18">
        <f t="shared" si="2"/>
        <v>0.56868945774108703</v>
      </c>
    </row>
    <row r="12" spans="1:9">
      <c r="A12" t="str">
        <f>Break!A12</f>
        <v>Mum_Anoop Narayan (1008522)</v>
      </c>
      <c r="B12" t="str">
        <f t="shared" si="3"/>
        <v xml:space="preserve">Anoop Narayan </v>
      </c>
      <c r="C12" s="12">
        <f t="shared" si="0"/>
        <v>0.34068287037037037</v>
      </c>
      <c r="D12" s="12">
        <f>TIMEVALUE(VLOOKUP(Summary!A12,Efficieny,3,0))</f>
        <v>0.20518518518518516</v>
      </c>
      <c r="E12" s="12">
        <f>TIMEVALUE(VLOOKUP(Summary!A12,Break,9,0))</f>
        <v>4.809027777777778E-2</v>
      </c>
      <c r="F12">
        <f t="shared" si="1"/>
        <v>87</v>
      </c>
      <c r="G12" s="18">
        <f t="shared" si="2"/>
        <v>0.56035332087650802</v>
      </c>
    </row>
    <row r="13" spans="1:9">
      <c r="A13" t="str">
        <f>Break!A13</f>
        <v>Mum_Anoop Raj (1008523)</v>
      </c>
      <c r="B13" t="str">
        <f t="shared" si="3"/>
        <v xml:space="preserve">Anoop Raj </v>
      </c>
      <c r="C13" s="12">
        <f t="shared" si="0"/>
        <v>0.33622685185185186</v>
      </c>
      <c r="D13" s="12">
        <f>TIMEVALUE(VLOOKUP(Summary!A13,Efficieny,3,0))</f>
        <v>0.15812499999999999</v>
      </c>
      <c r="E13" s="12">
        <f>TIMEVALUE(VLOOKUP(Summary!A13,Break,9,0))</f>
        <v>0.12590277777777778</v>
      </c>
      <c r="F13">
        <f t="shared" si="1"/>
        <v>65</v>
      </c>
      <c r="G13" s="18">
        <f t="shared" si="2"/>
        <v>0.41552495697073999</v>
      </c>
    </row>
    <row r="14" spans="1:9">
      <c r="A14" t="str">
        <f>Break!A14</f>
        <v>Mum_Anubhuti Gupta (1008524)</v>
      </c>
      <c r="B14" t="str">
        <f t="shared" si="3"/>
        <v xml:space="preserve">Anubhuti Gupta </v>
      </c>
      <c r="C14" s="12">
        <f t="shared" si="0"/>
        <v>0.34349537037037042</v>
      </c>
      <c r="D14" s="12">
        <f>TIMEVALUE(VLOOKUP(Summary!A14,Efficieny,3,0))</f>
        <v>0.19699074074074074</v>
      </c>
      <c r="E14" s="12">
        <f>TIMEVALUE(VLOOKUP(Summary!A14,Break,9,0))</f>
        <v>8.7974537037037046E-2</v>
      </c>
      <c r="F14">
        <f t="shared" si="1"/>
        <v>85</v>
      </c>
      <c r="G14" s="18">
        <f t="shared" si="2"/>
        <v>0.50026955994339195</v>
      </c>
    </row>
    <row r="15" spans="1:9">
      <c r="A15" t="str">
        <f>Break!A15</f>
        <v>Mum_Arun Kumar (1008525)</v>
      </c>
      <c r="B15" t="str">
        <f t="shared" si="3"/>
        <v xml:space="preserve">Arun Kumar </v>
      </c>
      <c r="C15" s="12">
        <f t="shared" si="0"/>
        <v>0.33321759259259259</v>
      </c>
      <c r="D15" s="12">
        <f>TIMEVALUE(VLOOKUP(Summary!A15,Efficieny,3,0))</f>
        <v>0.19475694444444444</v>
      </c>
      <c r="E15" s="12">
        <f>TIMEVALUE(VLOOKUP(Summary!A15,Break,9,0))</f>
        <v>4.9004629629629627E-2</v>
      </c>
      <c r="F15">
        <f t="shared" si="1"/>
        <v>65</v>
      </c>
      <c r="G15" s="18">
        <f t="shared" si="2"/>
        <v>0.51396318166029897</v>
      </c>
    </row>
    <row r="16" spans="1:9">
      <c r="A16" t="str">
        <f>Break!A16</f>
        <v>Mum_Ashish Kumar (1008526)</v>
      </c>
      <c r="B16" t="str">
        <f t="shared" si="3"/>
        <v xml:space="preserve">Ashish Kumar </v>
      </c>
      <c r="C16" s="12">
        <f t="shared" si="0"/>
        <v>0.34512731481481485</v>
      </c>
      <c r="D16" s="12">
        <f>TIMEVALUE(VLOOKUP(Summary!A16,Efficieny,3,0))</f>
        <v>0.2066550925925926</v>
      </c>
      <c r="E16" s="12">
        <f>TIMEVALUE(VLOOKUP(Summary!A16,Break,9,0))</f>
        <v>5.3460648148148153E-2</v>
      </c>
      <c r="F16">
        <f t="shared" si="1"/>
        <v>83</v>
      </c>
      <c r="G16" s="18">
        <f t="shared" si="2"/>
        <v>0.510580502364264</v>
      </c>
    </row>
    <row r="17" spans="1:7">
      <c r="A17" t="str">
        <f>Break!A17</f>
        <v>Mum_Ashok Kumar (1008527)</v>
      </c>
      <c r="B17" t="str">
        <f t="shared" si="3"/>
        <v xml:space="preserve">Ashok Kumar </v>
      </c>
      <c r="C17" s="12">
        <f t="shared" si="0"/>
        <v>0.34531249999999997</v>
      </c>
      <c r="D17" s="12">
        <f>TIMEVALUE(VLOOKUP(Summary!A17,Efficieny,3,0))</f>
        <v>0.17390046296296294</v>
      </c>
      <c r="E17" s="12">
        <f>TIMEVALUE(VLOOKUP(Summary!A17,Break,9,0))</f>
        <v>0.10023148148148148</v>
      </c>
      <c r="F17">
        <f t="shared" si="1"/>
        <v>82</v>
      </c>
      <c r="G17" s="18">
        <f t="shared" si="2"/>
        <v>0.48292274174627098</v>
      </c>
    </row>
    <row r="18" spans="1:7">
      <c r="A18" t="str">
        <f>Break!A18</f>
        <v>Hyd_Ashok Kumar (1008528)</v>
      </c>
      <c r="B18" t="str">
        <f t="shared" si="3"/>
        <v xml:space="preserve">Ashok Kumar </v>
      </c>
      <c r="C18" s="12">
        <f t="shared" si="0"/>
        <v>0.32848379629629632</v>
      </c>
      <c r="D18" s="12">
        <f>TIMEVALUE(VLOOKUP(Summary!A18,Efficieny,3,0))</f>
        <v>0.1973611111111111</v>
      </c>
      <c r="E18" s="12">
        <f>TIMEVALUE(VLOOKUP(Summary!A18,Break,9,0))</f>
        <v>3.9224537037037037E-2</v>
      </c>
      <c r="F18">
        <f t="shared" si="1"/>
        <v>81</v>
      </c>
      <c r="G18" s="18">
        <f t="shared" si="2"/>
        <v>0.57362319861879396</v>
      </c>
    </row>
    <row r="19" spans="1:7">
      <c r="A19" t="str">
        <f>Break!A19</f>
        <v>Hyd_Ashok Kumar (1008529)</v>
      </c>
      <c r="B19" t="str">
        <f t="shared" si="3"/>
        <v xml:space="preserve">Ashok Kumar </v>
      </c>
      <c r="C19" s="12">
        <f t="shared" si="0"/>
        <v>0.34494212962962961</v>
      </c>
      <c r="D19" s="12">
        <f>TIMEVALUE(VLOOKUP(Summary!A19,Efficieny,3,0))</f>
        <v>0.20702546296296295</v>
      </c>
      <c r="E19" s="12">
        <f>TIMEVALUE(VLOOKUP(Summary!A19,Break,9,0))</f>
        <v>4.8692129629629627E-2</v>
      </c>
      <c r="F19">
        <f t="shared" si="1"/>
        <v>80</v>
      </c>
      <c r="G19" s="18">
        <f t="shared" si="2"/>
        <v>0.56430560681810604</v>
      </c>
    </row>
    <row r="20" spans="1:7">
      <c r="A20" t="str">
        <f>Break!A20</f>
        <v>Hyd_Ashok Kumar (1008530)</v>
      </c>
      <c r="B20" t="str">
        <f t="shared" si="3"/>
        <v xml:space="preserve">Ashok Kumar </v>
      </c>
      <c r="C20" s="12">
        <f t="shared" si="0"/>
        <v>0.34810185185185188</v>
      </c>
      <c r="D20" s="12">
        <f>TIMEVALUE(VLOOKUP(Summary!A20,Efficieny,3,0))</f>
        <v>0.18267361111111111</v>
      </c>
      <c r="E20" s="12">
        <f>TIMEVALUE(VLOOKUP(Summary!A20,Break,9,0))</f>
        <v>0.11122685185185184</v>
      </c>
      <c r="F20">
        <f t="shared" si="1"/>
        <v>79</v>
      </c>
      <c r="G20" s="18">
        <f t="shared" si="2"/>
        <v>0.46974331693044302</v>
      </c>
    </row>
    <row r="21" spans="1:7">
      <c r="A21" t="str">
        <f>Break!A21</f>
        <v>Hyd_Ashok Mahto (1008531)</v>
      </c>
      <c r="B21" t="str">
        <f t="shared" si="3"/>
        <v xml:space="preserve">Ashok Mahto </v>
      </c>
      <c r="C21" s="12">
        <f t="shared" si="0"/>
        <v>0.34574074074074074</v>
      </c>
      <c r="D21" s="12">
        <f>TIMEVALUE(VLOOKUP(Summary!A21,Efficieny,3,0))</f>
        <v>0.20710648148148147</v>
      </c>
      <c r="E21" s="12">
        <f>TIMEVALUE(VLOOKUP(Summary!A21,Break,9,0))</f>
        <v>5.1736111111111115E-2</v>
      </c>
      <c r="F21">
        <f t="shared" si="1"/>
        <v>78</v>
      </c>
      <c r="G21" s="18">
        <f t="shared" si="2"/>
        <v>0.57495313336904097</v>
      </c>
    </row>
    <row r="22" spans="1:7">
      <c r="A22" t="str">
        <f>Break!A22</f>
        <v>Hyd_Atul Kumar (1008532)</v>
      </c>
      <c r="B22" t="str">
        <f t="shared" si="3"/>
        <v xml:space="preserve">Atul Kumar </v>
      </c>
      <c r="C22" s="12">
        <f t="shared" si="0"/>
        <v>0.3428356481481481</v>
      </c>
      <c r="D22" s="12">
        <f>TIMEVALUE(VLOOKUP(Summary!A22,Efficieny,3,0))</f>
        <v>0.20393518518518516</v>
      </c>
      <c r="E22" s="12">
        <f>TIMEVALUE(VLOOKUP(Summary!A22,Break,9,0))</f>
        <v>4.6516203703703705E-2</v>
      </c>
      <c r="F22">
        <f t="shared" si="1"/>
        <v>77</v>
      </c>
      <c r="G22" s="18">
        <f t="shared" si="2"/>
        <v>0.57945376590932096</v>
      </c>
    </row>
    <row r="23" spans="1:7">
      <c r="A23" t="str">
        <f>Break!A23</f>
        <v>Hyd_Azam (1008533)</v>
      </c>
      <c r="B23" t="str">
        <f t="shared" si="3"/>
        <v xml:space="preserve">Azam </v>
      </c>
      <c r="C23" s="12">
        <f t="shared" si="0"/>
        <v>0.34553240740740737</v>
      </c>
      <c r="D23" s="12">
        <f>TIMEVALUE(VLOOKUP(Summary!A23,Efficieny,3,0))</f>
        <v>0.20821759259259257</v>
      </c>
      <c r="E23" s="12">
        <f>TIMEVALUE(VLOOKUP(Summary!A23,Break,9,0))</f>
        <v>4.8460648148148149E-2</v>
      </c>
      <c r="F23">
        <f t="shared" si="1"/>
        <v>76</v>
      </c>
      <c r="G23" s="18">
        <f t="shared" si="2"/>
        <v>0.588296375695049</v>
      </c>
    </row>
    <row r="24" spans="1:7">
      <c r="A24" t="str">
        <f>Break!A24</f>
        <v>Hyd_Bhagwat Singh (1008534)</v>
      </c>
      <c r="B24" t="str">
        <f t="shared" si="3"/>
        <v xml:space="preserve">Bhagwat Singh </v>
      </c>
      <c r="C24" s="12">
        <f t="shared" si="0"/>
        <v>0.32064814814814818</v>
      </c>
      <c r="D24" s="12">
        <f>TIMEVALUE(VLOOKUP(Summary!A24,Efficieny,3,0))</f>
        <v>0.17288194444444446</v>
      </c>
      <c r="E24" s="12">
        <f>TIMEVALUE(VLOOKUP(Summary!A24,Break,9,0))</f>
        <v>9.0486111111111114E-2</v>
      </c>
      <c r="F24">
        <f t="shared" si="1"/>
        <v>75</v>
      </c>
      <c r="G24" s="18">
        <f t="shared" si="2"/>
        <v>0.46267686976609901</v>
      </c>
    </row>
    <row r="25" spans="1:7">
      <c r="A25" t="str">
        <f>Break!A25</f>
        <v>Hyd_Bindu Nair (1008535)</v>
      </c>
      <c r="B25" t="str">
        <f t="shared" si="3"/>
        <v xml:space="preserve">Bindu Nair </v>
      </c>
      <c r="C25" s="12">
        <f t="shared" si="0"/>
        <v>0.34032407407407406</v>
      </c>
      <c r="D25" s="12">
        <f>TIMEVALUE(VLOOKUP(Summary!A25,Efficieny,3,0))</f>
        <v>0.17644675925925926</v>
      </c>
      <c r="E25" s="12">
        <f>TIMEVALUE(VLOOKUP(Summary!A25,Break,9,0))</f>
        <v>9.116898148148149E-2</v>
      </c>
      <c r="F25">
        <f t="shared" si="1"/>
        <v>74</v>
      </c>
      <c r="G25" s="18">
        <f t="shared" si="2"/>
        <v>0.478030199972793</v>
      </c>
    </row>
    <row r="26" spans="1:7">
      <c r="A26" t="str">
        <f>Break!A26</f>
        <v>Hyd_Daleep Singh (1008536)</v>
      </c>
      <c r="B26" t="str">
        <f t="shared" si="3"/>
        <v xml:space="preserve">Daleep Singh </v>
      </c>
      <c r="C26" s="12">
        <f t="shared" si="0"/>
        <v>0.34328703703703706</v>
      </c>
      <c r="D26" s="12">
        <f>TIMEVALUE(VLOOKUP(Summary!A26,Efficieny,3,0))</f>
        <v>0.22703703703703704</v>
      </c>
      <c r="E26" s="12">
        <f>TIMEVALUE(VLOOKUP(Summary!A26,Break,9,0))</f>
        <v>5.0625000000000003E-2</v>
      </c>
      <c r="F26">
        <f t="shared" si="1"/>
        <v>73</v>
      </c>
      <c r="G26" s="18">
        <f t="shared" si="2"/>
        <v>0.59983142279163904</v>
      </c>
    </row>
    <row r="27" spans="1:7">
      <c r="A27" t="str">
        <f>Break!A27</f>
        <v>Hyd_Deepak Kumar (1008537)</v>
      </c>
      <c r="B27" t="str">
        <f t="shared" si="3"/>
        <v xml:space="preserve">Deepak Kumar </v>
      </c>
      <c r="C27" s="12">
        <f t="shared" si="0"/>
        <v>0.31663194444444448</v>
      </c>
      <c r="D27" s="12">
        <f>TIMEVALUE(VLOOKUP(Summary!A27,Efficieny,3,0))</f>
        <v>0.21199074074074076</v>
      </c>
      <c r="E27" s="12">
        <f>TIMEVALUE(VLOOKUP(Summary!A27,Break,9,0))</f>
        <v>2.1180555555555553E-2</v>
      </c>
      <c r="F27">
        <f t="shared" si="1"/>
        <v>72</v>
      </c>
      <c r="G27" s="18">
        <f t="shared" si="2"/>
        <v>0.65029060203969702</v>
      </c>
    </row>
    <row r="28" spans="1:7">
      <c r="A28" t="str">
        <f>Break!A28</f>
        <v>Hyd_Deepika Nigam (1008538)</v>
      </c>
      <c r="B28" t="str">
        <f t="shared" si="3"/>
        <v xml:space="preserve">Deepika Nigam </v>
      </c>
      <c r="C28" s="12">
        <f t="shared" si="0"/>
        <v>0.34512731481481485</v>
      </c>
      <c r="D28" s="12">
        <f>TIMEVALUE(VLOOKUP(Summary!A28,Efficieny,3,0))</f>
        <v>0.20607638888888888</v>
      </c>
      <c r="E28" s="12">
        <f>TIMEVALUE(VLOOKUP(Summary!A28,Break,9,0))</f>
        <v>4.9768518518518517E-2</v>
      </c>
      <c r="F28">
        <f t="shared" si="1"/>
        <v>71</v>
      </c>
      <c r="G28" s="18">
        <f t="shared" si="2"/>
        <v>0.55001844461584903</v>
      </c>
    </row>
    <row r="29" spans="1:7">
      <c r="A29" t="str">
        <f>Break!A29</f>
        <v>Hyd_Dinesh Kumar (1008539)</v>
      </c>
      <c r="B29" t="str">
        <f t="shared" si="3"/>
        <v xml:space="preserve">Dinesh Kumar </v>
      </c>
      <c r="C29" s="12">
        <f t="shared" si="0"/>
        <v>0.34297453703703701</v>
      </c>
      <c r="D29" s="12">
        <f>TIMEVALUE(VLOOKUP(Summary!A29,Efficieny,3,0))</f>
        <v>0.21273148148148147</v>
      </c>
      <c r="E29" s="12">
        <f>TIMEVALUE(VLOOKUP(Summary!A29,Break,9,0))</f>
        <v>4.8645833333333333E-2</v>
      </c>
      <c r="F29">
        <f t="shared" si="1"/>
        <v>70</v>
      </c>
      <c r="G29" s="18">
        <f t="shared" si="2"/>
        <v>0.51334660682347399</v>
      </c>
    </row>
    <row r="30" spans="1:7">
      <c r="A30" t="str">
        <f>Break!A30</f>
        <v>Hyd_Hari Kumar (1008540)</v>
      </c>
      <c r="B30" t="str">
        <f t="shared" si="3"/>
        <v xml:space="preserve">Hari Kumar </v>
      </c>
      <c r="C30" s="12">
        <f t="shared" si="0"/>
        <v>0.34387731481481482</v>
      </c>
      <c r="D30" s="12">
        <f>TIMEVALUE(VLOOKUP(Summary!A30,Efficieny,3,0))</f>
        <v>0.17480324074074075</v>
      </c>
      <c r="E30" s="12">
        <f>TIMEVALUE(VLOOKUP(Summary!A30,Break,9,0))</f>
        <v>0.11449074074074074</v>
      </c>
      <c r="F30">
        <f t="shared" si="1"/>
        <v>69</v>
      </c>
      <c r="G30" s="18">
        <f t="shared" si="2"/>
        <v>0.43603379219817601</v>
      </c>
    </row>
    <row r="31" spans="1:7">
      <c r="A31" t="str">
        <f>Break!A31</f>
        <v>Hyd_Heeramani Choudhary (1008541)</v>
      </c>
      <c r="B31" t="str">
        <f t="shared" si="3"/>
        <v xml:space="preserve">Heeramani Choudhary </v>
      </c>
      <c r="C31" s="12">
        <f t="shared" si="0"/>
        <v>0.31069444444444444</v>
      </c>
      <c r="D31" s="12">
        <f>TIMEVALUE(VLOOKUP(Summary!A31,Efficieny,3,0))</f>
        <v>0.1912962962962963</v>
      </c>
      <c r="E31" s="12">
        <f>TIMEVALUE(VLOOKUP(Summary!A31,Break,9,0))</f>
        <v>5.5787037037037031E-2</v>
      </c>
      <c r="F31">
        <f t="shared" si="1"/>
        <v>68</v>
      </c>
      <c r="G31" s="18">
        <f t="shared" si="2"/>
        <v>0.52954105200417201</v>
      </c>
    </row>
    <row r="32" spans="1:7">
      <c r="A32" t="str">
        <f>Break!A32</f>
        <v>Hyd_Indra Pal (1008542)</v>
      </c>
      <c r="B32" t="str">
        <f t="shared" si="3"/>
        <v xml:space="preserve">Indra Pal </v>
      </c>
      <c r="C32" s="12">
        <f t="shared" si="0"/>
        <v>0.33329861111111109</v>
      </c>
      <c r="D32" s="12">
        <f>TIMEVALUE(VLOOKUP(Summary!A32,Efficieny,3,0))</f>
        <v>0.21824074074074074</v>
      </c>
      <c r="E32" s="12">
        <f>TIMEVALUE(VLOOKUP(Summary!A32,Break,9,0))</f>
        <v>4.809027777777778E-2</v>
      </c>
      <c r="F32">
        <f t="shared" si="1"/>
        <v>67</v>
      </c>
      <c r="G32" s="18">
        <f t="shared" si="2"/>
        <v>0.56446852102649603</v>
      </c>
    </row>
    <row r="33" spans="1:7">
      <c r="A33" t="str">
        <f>Break!A33</f>
        <v>Hyd_Indra Singh (1008543)</v>
      </c>
      <c r="B33" t="str">
        <f t="shared" si="3"/>
        <v xml:space="preserve">Indra Singh </v>
      </c>
      <c r="C33" s="12">
        <f t="shared" si="0"/>
        <v>0.34564814814814815</v>
      </c>
      <c r="D33" s="12">
        <f>TIMEVALUE(VLOOKUP(Summary!A33,Efficieny,3,0))</f>
        <v>0.21184027777777778</v>
      </c>
      <c r="E33" s="12">
        <f>TIMEVALUE(VLOOKUP(Summary!A33,Break,9,0))</f>
        <v>8.9745370370370378E-2</v>
      </c>
      <c r="F33">
        <f t="shared" si="1"/>
        <v>66</v>
      </c>
      <c r="G33" s="18">
        <f t="shared" si="2"/>
        <v>0.49789043664612898</v>
      </c>
    </row>
    <row r="34" spans="1:7">
      <c r="A34" t="str">
        <f>Break!A34</f>
        <v>Hyd_Jagdish Chandra (1008544)</v>
      </c>
      <c r="B34" t="str">
        <f t="shared" si="3"/>
        <v xml:space="preserve">Jagdish Chandra </v>
      </c>
      <c r="C34" s="12">
        <f t="shared" ref="C34:C65" si="4">TIMEVALUE(VLOOKUP(A34,Efficieny,2,0))</f>
        <v>0.34664351851851855</v>
      </c>
      <c r="D34" s="12">
        <f>TIMEVALUE(VLOOKUP(Summary!A34,Efficieny,3,0))</f>
        <v>0.20781249999999998</v>
      </c>
      <c r="E34" s="12">
        <f>TIMEVALUE(VLOOKUP(Summary!A34,Break,9,0))</f>
        <v>4.7951388888888891E-2</v>
      </c>
      <c r="F34">
        <f t="shared" ref="F34:F65" si="5">VLOOKUP(A34,Over,2,0)</f>
        <v>65</v>
      </c>
      <c r="G34" s="18">
        <f t="shared" ref="G34:G65" si="6">VLOOKUP(A34,Efficieny,6,0)</f>
        <v>0.56270450751252099</v>
      </c>
    </row>
    <row r="35" spans="1:7">
      <c r="A35" t="str">
        <f>Break!A35</f>
        <v>Hyd_Jairaj Vatham (1008545)</v>
      </c>
      <c r="B35" t="str">
        <f t="shared" si="3"/>
        <v xml:space="preserve">Jairaj Vatham </v>
      </c>
      <c r="C35" s="12">
        <f t="shared" si="4"/>
        <v>0.34471064814814811</v>
      </c>
      <c r="D35" s="12">
        <f>TIMEVALUE(VLOOKUP(Summary!A35,Efficieny,3,0))</f>
        <v>0.20981481481481482</v>
      </c>
      <c r="E35" s="12">
        <f>TIMEVALUE(VLOOKUP(Summary!A35,Break,9,0))</f>
        <v>4.8564814814814818E-2</v>
      </c>
      <c r="F35">
        <f t="shared" si="5"/>
        <v>64</v>
      </c>
      <c r="G35" s="18">
        <f t="shared" si="6"/>
        <v>0.57680556021891705</v>
      </c>
    </row>
    <row r="36" spans="1:7">
      <c r="A36" t="str">
        <f>Break!A36</f>
        <v>Hyd_Janardan Mishra (1008546)</v>
      </c>
      <c r="B36" t="str">
        <f t="shared" si="3"/>
        <v xml:space="preserve">Janardan Mishra </v>
      </c>
      <c r="C36" s="12">
        <f t="shared" si="4"/>
        <v>0.31923611111111111</v>
      </c>
      <c r="D36" s="12">
        <f>TIMEVALUE(VLOOKUP(Summary!A36,Efficieny,3,0))</f>
        <v>0.18953703703703703</v>
      </c>
      <c r="E36" s="12">
        <f>TIMEVALUE(VLOOKUP(Summary!A36,Break,9,0))</f>
        <v>6.1215277777777778E-2</v>
      </c>
      <c r="F36">
        <f t="shared" si="5"/>
        <v>63</v>
      </c>
      <c r="G36" s="18">
        <f t="shared" si="6"/>
        <v>0.55728373576970502</v>
      </c>
    </row>
    <row r="37" spans="1:7">
      <c r="A37" t="str">
        <f>Break!A37</f>
        <v>Hyd_Jitendra Kumar (1008547)</v>
      </c>
      <c r="B37" t="str">
        <f t="shared" si="3"/>
        <v xml:space="preserve">Jitendra Kumar </v>
      </c>
      <c r="C37" s="12">
        <f t="shared" si="4"/>
        <v>0.34128472222222223</v>
      </c>
      <c r="D37" s="12">
        <f>TIMEVALUE(VLOOKUP(Summary!A37,Efficieny,3,0))</f>
        <v>0.17200231481481479</v>
      </c>
      <c r="E37" s="12">
        <f>TIMEVALUE(VLOOKUP(Summary!A37,Break,9,0))</f>
        <v>0.10777777777777779</v>
      </c>
      <c r="F37">
        <f t="shared" si="5"/>
        <v>62</v>
      </c>
      <c r="G37" s="18">
        <f t="shared" si="6"/>
        <v>0.47590463594126198</v>
      </c>
    </row>
    <row r="38" spans="1:7">
      <c r="A38" t="str">
        <f>Break!A38</f>
        <v>Hyd_John D'Costa (1008548)</v>
      </c>
      <c r="B38" t="str">
        <f t="shared" si="3"/>
        <v xml:space="preserve">John D'Costa </v>
      </c>
      <c r="C38" s="12">
        <f t="shared" si="4"/>
        <v>0.34012731481481479</v>
      </c>
      <c r="D38" s="12">
        <f>TIMEVALUE(VLOOKUP(Summary!A38,Efficieny,3,0))</f>
        <v>0.20243055555555556</v>
      </c>
      <c r="E38" s="12">
        <f>TIMEVALUE(VLOOKUP(Summary!A38,Break,9,0))</f>
        <v>4.8333333333333332E-2</v>
      </c>
      <c r="F38">
        <f t="shared" si="5"/>
        <v>61</v>
      </c>
      <c r="G38" s="18">
        <f t="shared" si="6"/>
        <v>0.55636846224520997</v>
      </c>
    </row>
    <row r="39" spans="1:7">
      <c r="A39" t="str">
        <f>Break!A39</f>
        <v>Hyd_Julie S (1008549)</v>
      </c>
      <c r="B39" t="str">
        <f t="shared" si="3"/>
        <v xml:space="preserve">Julie S </v>
      </c>
      <c r="C39" s="12">
        <f t="shared" si="4"/>
        <v>0.3442824074074074</v>
      </c>
      <c r="D39" s="12">
        <f>TIMEVALUE(VLOOKUP(Summary!A39,Efficieny,3,0))</f>
        <v>0.20569444444444443</v>
      </c>
      <c r="E39" s="12">
        <f>TIMEVALUE(VLOOKUP(Summary!A39,Break,9,0))</f>
        <v>4.912037037037037E-2</v>
      </c>
      <c r="F39">
        <f t="shared" si="5"/>
        <v>60</v>
      </c>
      <c r="G39" s="18">
        <f t="shared" si="6"/>
        <v>0.527970147246689</v>
      </c>
    </row>
    <row r="40" spans="1:7">
      <c r="A40" t="str">
        <f>Break!A40</f>
        <v>Hyd_Jyoti Tulsani (1008550)</v>
      </c>
      <c r="B40" t="str">
        <f t="shared" si="3"/>
        <v xml:space="preserve">Jyoti Tulsani </v>
      </c>
      <c r="C40" s="12">
        <f t="shared" si="4"/>
        <v>0.3439699074074074</v>
      </c>
      <c r="D40" s="12">
        <f>TIMEVALUE(VLOOKUP(Summary!A40,Efficieny,3,0))</f>
        <v>0.20620370370370369</v>
      </c>
      <c r="E40" s="12">
        <f>TIMEVALUE(VLOOKUP(Summary!A40,Break,9,0))</f>
        <v>4.8923611111111105E-2</v>
      </c>
      <c r="F40">
        <f t="shared" si="5"/>
        <v>59</v>
      </c>
      <c r="G40" s="18">
        <f t="shared" si="6"/>
        <v>0.565025741108382</v>
      </c>
    </row>
    <row r="41" spans="1:7">
      <c r="A41" t="str">
        <f>Break!A41</f>
        <v>Hyd_Kahkasha Parveen (1008551)</v>
      </c>
      <c r="B41" t="str">
        <f t="shared" si="3"/>
        <v xml:space="preserve">Kahkasha Parveen </v>
      </c>
      <c r="C41" s="12">
        <f t="shared" si="4"/>
        <v>0.34541666666666665</v>
      </c>
      <c r="D41" s="12">
        <f>TIMEVALUE(VLOOKUP(Summary!A41,Efficieny,3,0))</f>
        <v>0.22590277777777779</v>
      </c>
      <c r="E41" s="12">
        <f>TIMEVALUE(VLOOKUP(Summary!A41,Break,9,0))</f>
        <v>4.8749999999999995E-2</v>
      </c>
      <c r="F41">
        <f t="shared" si="5"/>
        <v>58</v>
      </c>
      <c r="G41" s="18">
        <f t="shared" si="6"/>
        <v>0.48579278917035301</v>
      </c>
    </row>
    <row r="42" spans="1:7">
      <c r="A42" t="str">
        <f>Break!A42</f>
        <v>Hyd_Kailash Nath (1008552)</v>
      </c>
      <c r="B42" t="str">
        <f t="shared" si="3"/>
        <v xml:space="preserve">Kailash Nath </v>
      </c>
      <c r="C42" s="12">
        <f t="shared" si="4"/>
        <v>0.34445601851851854</v>
      </c>
      <c r="D42" s="12">
        <f>TIMEVALUE(VLOOKUP(Summary!A42,Efficieny,3,0))</f>
        <v>0.20725694444444445</v>
      </c>
      <c r="E42" s="12">
        <f>TIMEVALUE(VLOOKUP(Summary!A42,Break,9,0))</f>
        <v>4.6990740740740743E-2</v>
      </c>
      <c r="F42">
        <f t="shared" si="5"/>
        <v>57</v>
      </c>
      <c r="G42" s="18">
        <f t="shared" si="6"/>
        <v>0.572258996673499</v>
      </c>
    </row>
    <row r="43" spans="1:7">
      <c r="A43" t="str">
        <f>Break!A43</f>
        <v>Hyd_Kalpana Agrawal (1008553)</v>
      </c>
      <c r="B43" t="str">
        <f t="shared" si="3"/>
        <v xml:space="preserve">Kalpana Agrawal </v>
      </c>
      <c r="C43" s="12">
        <f t="shared" si="4"/>
        <v>0.33342592592592596</v>
      </c>
      <c r="D43" s="12">
        <f>TIMEVALUE(VLOOKUP(Summary!A43,Efficieny,3,0))</f>
        <v>0.16271990740740741</v>
      </c>
      <c r="E43" s="12">
        <f>TIMEVALUE(VLOOKUP(Summary!A43,Break,9,0))</f>
        <v>0.10062500000000001</v>
      </c>
      <c r="F43">
        <f t="shared" si="5"/>
        <v>56</v>
      </c>
      <c r="G43" s="18">
        <f t="shared" si="6"/>
        <v>0.46542627048042201</v>
      </c>
    </row>
    <row r="44" spans="1:7">
      <c r="A44" t="str">
        <f>Break!A44</f>
        <v>Hyd_Kamini Kumar (1008554)</v>
      </c>
      <c r="B44" t="str">
        <f t="shared" si="3"/>
        <v xml:space="preserve">Kamini Kumar </v>
      </c>
      <c r="C44" s="12">
        <f t="shared" si="4"/>
        <v>0.2094560185185185</v>
      </c>
      <c r="D44" s="12">
        <f>TIMEVALUE(VLOOKUP(Summary!A44,Efficieny,3,0))</f>
        <v>0.13993055555555556</v>
      </c>
      <c r="E44" s="12">
        <f>TIMEVALUE(VLOOKUP(Summary!A44,Break,9,0))</f>
        <v>1.0416666666666666E-2</v>
      </c>
      <c r="F44">
        <f t="shared" si="5"/>
        <v>55</v>
      </c>
      <c r="G44" s="18">
        <f t="shared" si="6"/>
        <v>0.64380836602751801</v>
      </c>
    </row>
    <row r="45" spans="1:7">
      <c r="A45" t="str">
        <f>Break!A45</f>
        <v>Hyd_Kamini Tiwari (1008555)</v>
      </c>
      <c r="B45" t="str">
        <f t="shared" si="3"/>
        <v xml:space="preserve">Kamini Tiwari </v>
      </c>
      <c r="C45" s="12">
        <f t="shared" si="4"/>
        <v>0.35192129629629632</v>
      </c>
      <c r="D45" s="12">
        <f>TIMEVALUE(VLOOKUP(Summary!A45,Efficieny,3,0))</f>
        <v>0.22140046296296298</v>
      </c>
      <c r="E45" s="12">
        <f>TIMEVALUE(VLOOKUP(Summary!A45,Break,9,0))</f>
        <v>4.8437500000000001E-2</v>
      </c>
      <c r="F45">
        <f t="shared" si="5"/>
        <v>54</v>
      </c>
      <c r="G45" s="18">
        <f t="shared" si="6"/>
        <v>0.57347234098533195</v>
      </c>
    </row>
    <row r="46" spans="1:7">
      <c r="A46" t="str">
        <f>Break!A46</f>
        <v>Hyd_Kavita Sharma (1008556)</v>
      </c>
      <c r="B46" t="str">
        <f t="shared" si="3"/>
        <v xml:space="preserve">Kavita Sharma </v>
      </c>
      <c r="C46" s="12">
        <f t="shared" si="4"/>
        <v>0.32876157407407408</v>
      </c>
      <c r="D46" s="12">
        <f>TIMEVALUE(VLOOKUP(Summary!A46,Efficieny,3,0))</f>
        <v>0.22660879629629629</v>
      </c>
      <c r="E46" s="12">
        <f>TIMEVALUE(VLOOKUP(Summary!A46,Break,9,0))</f>
        <v>3.9108796296296301E-2</v>
      </c>
      <c r="F46">
        <f t="shared" si="5"/>
        <v>53</v>
      </c>
      <c r="G46" s="18">
        <f t="shared" si="6"/>
        <v>0.64717479317021698</v>
      </c>
    </row>
    <row r="47" spans="1:7">
      <c r="A47" t="str">
        <f>Break!A47</f>
        <v>Hyd_Kiran Khubchandani (1008557)</v>
      </c>
      <c r="B47" t="str">
        <f t="shared" si="3"/>
        <v xml:space="preserve">Kiran Khubchandani </v>
      </c>
      <c r="C47" s="12">
        <f t="shared" si="4"/>
        <v>0.33435185185185184</v>
      </c>
      <c r="D47" s="12">
        <f>TIMEVALUE(VLOOKUP(Summary!A47,Efficieny,3,0))</f>
        <v>0.17586805555555554</v>
      </c>
      <c r="E47" s="12">
        <f>TIMEVALUE(VLOOKUP(Summary!A47,Break,9,0))</f>
        <v>9.0555555555555556E-2</v>
      </c>
      <c r="F47">
        <f t="shared" si="5"/>
        <v>52</v>
      </c>
      <c r="G47" s="18">
        <f t="shared" si="6"/>
        <v>0.50443090556632497</v>
      </c>
    </row>
    <row r="48" spans="1:7">
      <c r="A48" t="str">
        <f>Break!A48</f>
        <v>Hyd_Kisun Sah (1008558)</v>
      </c>
      <c r="B48" t="str">
        <f t="shared" si="3"/>
        <v xml:space="preserve">Kisun Sah </v>
      </c>
      <c r="C48" s="12">
        <f t="shared" si="4"/>
        <v>0.34831018518518514</v>
      </c>
      <c r="D48" s="12">
        <f>TIMEVALUE(VLOOKUP(Summary!A48,Efficieny,3,0))</f>
        <v>0.21436342592592594</v>
      </c>
      <c r="E48" s="12">
        <f>TIMEVALUE(VLOOKUP(Summary!A48,Break,9,0))</f>
        <v>4.8240740740740744E-2</v>
      </c>
      <c r="F48">
        <f t="shared" si="5"/>
        <v>51</v>
      </c>
      <c r="G48" s="18">
        <f t="shared" si="6"/>
        <v>0.55280122283511701</v>
      </c>
    </row>
    <row r="49" spans="1:7">
      <c r="A49" t="str">
        <f>Break!A49</f>
        <v>Hyd_Krishana Kumar (1008559)</v>
      </c>
      <c r="B49" t="str">
        <f t="shared" si="3"/>
        <v xml:space="preserve">Krishana Kumar </v>
      </c>
      <c r="C49" s="12">
        <f t="shared" si="4"/>
        <v>0.34407407407407403</v>
      </c>
      <c r="D49" s="12">
        <f>TIMEVALUE(VLOOKUP(Summary!A49,Efficieny,3,0))</f>
        <v>0.19798611111111111</v>
      </c>
      <c r="E49" s="12">
        <f>TIMEVALUE(VLOOKUP(Summary!A49,Break,9,0))</f>
        <v>4.8437500000000001E-2</v>
      </c>
      <c r="F49">
        <f t="shared" si="5"/>
        <v>50</v>
      </c>
      <c r="G49" s="18">
        <f t="shared" si="6"/>
        <v>0.55493137782561897</v>
      </c>
    </row>
    <row r="50" spans="1:7">
      <c r="A50" t="str">
        <f>Break!A50</f>
        <v>Hyd_Kunj Bihari (1008560)</v>
      </c>
      <c r="B50" t="str">
        <f t="shared" si="3"/>
        <v xml:space="preserve">Kunj Bihari </v>
      </c>
      <c r="C50" s="12">
        <f t="shared" si="4"/>
        <v>0.33285879629629628</v>
      </c>
      <c r="D50" s="12">
        <f>TIMEVALUE(VLOOKUP(Summary!A50,Efficieny,3,0))</f>
        <v>0.19598379629629628</v>
      </c>
      <c r="E50" s="12">
        <f>TIMEVALUE(VLOOKUP(Summary!A50,Break,9,0))</f>
        <v>4.8738425925925921E-2</v>
      </c>
      <c r="F50">
        <f t="shared" si="5"/>
        <v>49</v>
      </c>
      <c r="G50" s="18">
        <f t="shared" si="6"/>
        <v>0.55217497131332804</v>
      </c>
    </row>
    <row r="51" spans="1:7">
      <c r="A51" t="str">
        <f>Break!A51</f>
        <v>Hyd_Leena George (1008561)</v>
      </c>
      <c r="B51" t="str">
        <f t="shared" si="3"/>
        <v xml:space="preserve">Leena George </v>
      </c>
      <c r="C51" s="12">
        <f t="shared" si="4"/>
        <v>0.20570601851851852</v>
      </c>
      <c r="D51" s="12">
        <f>TIMEVALUE(VLOOKUP(Summary!A51,Efficieny,3,0))</f>
        <v>0.13252314814814814</v>
      </c>
      <c r="E51" s="12">
        <f>TIMEVALUE(VLOOKUP(Summary!A51,Break,9,0))</f>
        <v>1.2615740740740742E-2</v>
      </c>
      <c r="F51">
        <f t="shared" si="5"/>
        <v>48</v>
      </c>
      <c r="G51" s="18">
        <f t="shared" si="6"/>
        <v>0.58819557756147001</v>
      </c>
    </row>
    <row r="52" spans="1:7">
      <c r="A52" t="str">
        <f>Break!A52</f>
        <v>Hyd_Lilly Lucy (1008562)</v>
      </c>
      <c r="B52" t="str">
        <f t="shared" si="3"/>
        <v xml:space="preserve">Lilly Lucy </v>
      </c>
      <c r="C52" s="12">
        <f t="shared" si="4"/>
        <v>0.32318287037037036</v>
      </c>
      <c r="D52" s="12">
        <f>TIMEVALUE(VLOOKUP(Summary!A52,Efficieny,3,0))</f>
        <v>0.19381944444444443</v>
      </c>
      <c r="E52" s="12">
        <f>TIMEVALUE(VLOOKUP(Summary!A52,Break,9,0))</f>
        <v>5.1898148148148145E-2</v>
      </c>
      <c r="F52">
        <f t="shared" si="5"/>
        <v>47</v>
      </c>
      <c r="G52" s="18">
        <f t="shared" si="6"/>
        <v>0.55534863732407003</v>
      </c>
    </row>
    <row r="53" spans="1:7">
      <c r="A53" t="str">
        <f>Break!A53</f>
        <v>Hyd_Mangal Singh (1008563)</v>
      </c>
      <c r="B53" t="str">
        <f t="shared" si="3"/>
        <v xml:space="preserve">Mangal Singh </v>
      </c>
      <c r="C53" s="12">
        <f t="shared" si="4"/>
        <v>0.33348379629629626</v>
      </c>
      <c r="D53" s="12">
        <f>TIMEVALUE(VLOOKUP(Summary!A53,Efficieny,3,0))</f>
        <v>0.19890046296296296</v>
      </c>
      <c r="E53" s="12">
        <f>TIMEVALUE(VLOOKUP(Summary!A53,Break,9,0))</f>
        <v>4.8657407407407406E-2</v>
      </c>
      <c r="F53">
        <f t="shared" si="5"/>
        <v>46</v>
      </c>
      <c r="G53" s="18">
        <f t="shared" si="6"/>
        <v>0.55815083469267301</v>
      </c>
    </row>
    <row r="54" spans="1:7">
      <c r="A54" t="str">
        <f>Break!A54</f>
        <v>Hyd_Manisha Shrivastava (1008564)</v>
      </c>
      <c r="B54" t="str">
        <f t="shared" si="3"/>
        <v xml:space="preserve">Manisha Shrivastava </v>
      </c>
      <c r="C54" s="12">
        <f t="shared" si="4"/>
        <v>0.34015046296296297</v>
      </c>
      <c r="D54" s="12">
        <f>TIMEVALUE(VLOOKUP(Summary!A54,Efficieny,3,0))</f>
        <v>0.20222222222222222</v>
      </c>
      <c r="E54" s="12">
        <f>TIMEVALUE(VLOOKUP(Summary!A54,Break,9,0))</f>
        <v>4.8715277777777781E-2</v>
      </c>
      <c r="F54">
        <f t="shared" si="5"/>
        <v>45</v>
      </c>
      <c r="G54" s="18">
        <f t="shared" si="6"/>
        <v>0.53002824185919895</v>
      </c>
    </row>
    <row r="55" spans="1:7">
      <c r="A55" t="str">
        <f>Break!A55</f>
        <v>Hyd_Manjusha Sinha (1008565)</v>
      </c>
      <c r="B55" t="str">
        <f t="shared" si="3"/>
        <v xml:space="preserve">Manjusha Sinha </v>
      </c>
      <c r="C55" s="12">
        <f t="shared" si="4"/>
        <v>0.34311342592592592</v>
      </c>
      <c r="D55" s="12">
        <f>TIMEVALUE(VLOOKUP(Summary!A55,Efficieny,3,0))</f>
        <v>0.21112268518518518</v>
      </c>
      <c r="E55" s="12">
        <f>TIMEVALUE(VLOOKUP(Summary!A55,Break,9,0))</f>
        <v>4.9062500000000002E-2</v>
      </c>
      <c r="F55">
        <f t="shared" si="5"/>
        <v>44</v>
      </c>
      <c r="G55" s="18">
        <f t="shared" si="6"/>
        <v>0.54639905548996504</v>
      </c>
    </row>
    <row r="56" spans="1:7">
      <c r="A56" t="str">
        <f>Break!A56</f>
        <v>Hyd_ManjuTiwari Lab (1008566)</v>
      </c>
      <c r="B56" t="str">
        <f t="shared" si="3"/>
        <v xml:space="preserve">ManjuTiwari Lab </v>
      </c>
      <c r="C56" s="12">
        <f t="shared" si="4"/>
        <v>0.32046296296296295</v>
      </c>
      <c r="D56" s="12">
        <f>TIMEVALUE(VLOOKUP(Summary!A56,Efficieny,3,0))</f>
        <v>0.18484953703703702</v>
      </c>
      <c r="E56" s="12">
        <f>TIMEVALUE(VLOOKUP(Summary!A56,Break,9,0))</f>
        <v>4.9143518518518524E-2</v>
      </c>
      <c r="F56">
        <f t="shared" si="5"/>
        <v>43</v>
      </c>
      <c r="G56" s="18">
        <f t="shared" si="6"/>
        <v>0.52849609939323905</v>
      </c>
    </row>
    <row r="57" spans="1:7">
      <c r="A57" t="str">
        <f>Break!A57</f>
        <v>Hyd_Manoj Kumar (1008567)</v>
      </c>
      <c r="B57" t="str">
        <f t="shared" si="3"/>
        <v xml:space="preserve">Manoj Kumar </v>
      </c>
      <c r="C57" s="12">
        <f t="shared" si="4"/>
        <v>0.33384259259259258</v>
      </c>
      <c r="D57" s="12">
        <f>TIMEVALUE(VLOOKUP(Summary!A57,Efficieny,3,0))</f>
        <v>0.1867824074074074</v>
      </c>
      <c r="E57" s="12">
        <f>TIMEVALUE(VLOOKUP(Summary!A57,Break,9,0))</f>
        <v>4.853009259259259E-2</v>
      </c>
      <c r="F57">
        <f t="shared" si="5"/>
        <v>42</v>
      </c>
      <c r="G57" s="18">
        <f t="shared" si="6"/>
        <v>0.53279711551795905</v>
      </c>
    </row>
    <row r="58" spans="1:7">
      <c r="A58" t="str">
        <f>Break!A58</f>
        <v>Hyd_Manoj Kumar (1008568)</v>
      </c>
      <c r="B58" t="str">
        <f t="shared" si="3"/>
        <v xml:space="preserve">Manoj Kumar </v>
      </c>
      <c r="C58" s="12">
        <f t="shared" si="4"/>
        <v>0.33012731481481478</v>
      </c>
      <c r="D58" s="12">
        <f>TIMEVALUE(VLOOKUP(Summary!A58,Efficieny,3,0))</f>
        <v>0.18739583333333332</v>
      </c>
      <c r="E58" s="12">
        <f>TIMEVALUE(VLOOKUP(Summary!A58,Break,9,0))</f>
        <v>5.2766203703703697E-2</v>
      </c>
      <c r="F58">
        <f t="shared" si="5"/>
        <v>41</v>
      </c>
      <c r="G58" s="18">
        <f t="shared" si="6"/>
        <v>0.53150089401535605</v>
      </c>
    </row>
    <row r="59" spans="1:7">
      <c r="A59" t="str">
        <f>Break!A59</f>
        <v>Hyd_Masroor Adil (1008569)</v>
      </c>
      <c r="B59" t="str">
        <f t="shared" si="3"/>
        <v xml:space="preserve">Masroor Adil </v>
      </c>
      <c r="C59" s="12">
        <f t="shared" si="4"/>
        <v>0.34032407407407406</v>
      </c>
      <c r="D59" s="12">
        <f>TIMEVALUE(VLOOKUP(Summary!A59,Efficieny,3,0))</f>
        <v>0.21151620370370372</v>
      </c>
      <c r="E59" s="12">
        <f>TIMEVALUE(VLOOKUP(Summary!A59,Break,9,0))</f>
        <v>4.9756944444444444E-2</v>
      </c>
      <c r="F59">
        <f t="shared" si="5"/>
        <v>40</v>
      </c>
      <c r="G59" s="18">
        <f t="shared" si="6"/>
        <v>0.58954564004897303</v>
      </c>
    </row>
    <row r="60" spans="1:7">
      <c r="A60" t="str">
        <f>Break!A60</f>
        <v>Hyd_Meena Zinjare (1008570)</v>
      </c>
      <c r="B60" t="str">
        <f t="shared" si="3"/>
        <v xml:space="preserve">Meena Zinjare </v>
      </c>
      <c r="C60" s="12">
        <f t="shared" si="4"/>
        <v>0.33714120370370365</v>
      </c>
      <c r="D60" s="12">
        <f>TIMEVALUE(VLOOKUP(Summary!A60,Efficieny,3,0))</f>
        <v>0.13162037037037036</v>
      </c>
      <c r="E60" s="12">
        <f>TIMEVALUE(VLOOKUP(Summary!A60,Break,9,0))</f>
        <v>0.14913194444444444</v>
      </c>
      <c r="F60">
        <f t="shared" si="5"/>
        <v>39</v>
      </c>
      <c r="G60" s="18">
        <f t="shared" si="6"/>
        <v>0.34903360911806097</v>
      </c>
    </row>
    <row r="61" spans="1:7">
      <c r="A61" t="str">
        <f>Break!A61</f>
        <v>Hyd_Mehnaz Khan (1008571)</v>
      </c>
      <c r="B61" t="str">
        <f t="shared" si="3"/>
        <v xml:space="preserve">Mehnaz Khan </v>
      </c>
      <c r="C61" s="12">
        <f t="shared" si="4"/>
        <v>0.34364583333333337</v>
      </c>
      <c r="D61" s="12">
        <f>TIMEVALUE(VLOOKUP(Summary!A61,Efficieny,3,0))</f>
        <v>0.17246527777777776</v>
      </c>
      <c r="E61" s="12">
        <f>TIMEVALUE(VLOOKUP(Summary!A61,Break,9,0))</f>
        <v>9.194444444444444E-2</v>
      </c>
      <c r="F61">
        <f t="shared" si="5"/>
        <v>38</v>
      </c>
      <c r="G61" s="18">
        <f t="shared" si="6"/>
        <v>0.47933717288067101</v>
      </c>
    </row>
    <row r="62" spans="1:7">
      <c r="A62" t="str">
        <f>Break!A62</f>
        <v>Hyd_Mercy Thampi (1008572)</v>
      </c>
      <c r="B62" t="str">
        <f t="shared" si="3"/>
        <v xml:space="preserve">Mercy Thampi </v>
      </c>
      <c r="C62" s="12">
        <f t="shared" si="4"/>
        <v>0.21915509259259258</v>
      </c>
      <c r="D62" s="12">
        <f>TIMEVALUE(VLOOKUP(Summary!A62,Efficieny,3,0))</f>
        <v>0.15189814814814814</v>
      </c>
      <c r="E62" s="12">
        <f>TIMEVALUE(VLOOKUP(Summary!A62,Break,9,0))</f>
        <v>1.082175925925926E-2</v>
      </c>
      <c r="F62">
        <f t="shared" si="5"/>
        <v>37</v>
      </c>
      <c r="G62" s="18">
        <f t="shared" si="6"/>
        <v>0.62762080802746201</v>
      </c>
    </row>
    <row r="63" spans="1:7">
      <c r="A63" t="str">
        <f>Break!A63</f>
        <v>Hyd_Miny Mole (1008573)</v>
      </c>
      <c r="B63" t="str">
        <f t="shared" si="3"/>
        <v xml:space="preserve">Miny Mole </v>
      </c>
      <c r="C63" s="12">
        <f t="shared" si="4"/>
        <v>0.3417824074074074</v>
      </c>
      <c r="D63" s="12">
        <f>TIMEVALUE(VLOOKUP(Summary!A63,Efficieny,3,0))</f>
        <v>0.17645833333333336</v>
      </c>
      <c r="E63" s="12">
        <f>TIMEVALUE(VLOOKUP(Summary!A63,Break,9,0))</f>
        <v>9.2442129629629624E-2</v>
      </c>
      <c r="F63">
        <f t="shared" si="5"/>
        <v>36</v>
      </c>
      <c r="G63" s="18">
        <f t="shared" si="6"/>
        <v>0.47561801557737898</v>
      </c>
    </row>
    <row r="64" spans="1:7">
      <c r="A64" t="str">
        <f>Break!A64</f>
        <v>Hyd_Mohd Rafi (1008574)</v>
      </c>
      <c r="B64" t="str">
        <f t="shared" si="3"/>
        <v xml:space="preserve">Mohd Rafi </v>
      </c>
      <c r="C64" s="12">
        <f t="shared" si="4"/>
        <v>0.33370370370370367</v>
      </c>
      <c r="D64" s="12">
        <f>TIMEVALUE(VLOOKUP(Summary!A64,Efficieny,3,0))</f>
        <v>0.16336805555555556</v>
      </c>
      <c r="E64" s="12">
        <f>TIMEVALUE(VLOOKUP(Summary!A64,Break,9,0))</f>
        <v>0.11005787037037036</v>
      </c>
      <c r="F64">
        <f t="shared" si="5"/>
        <v>35</v>
      </c>
      <c r="G64" s="18">
        <f t="shared" si="6"/>
        <v>0.43635543840177599</v>
      </c>
    </row>
    <row r="65" spans="1:7">
      <c r="A65" t="str">
        <f>Break!A65</f>
        <v>Hyd_Mubeen Khan (1008575)</v>
      </c>
      <c r="B65" t="str">
        <f t="shared" si="3"/>
        <v xml:space="preserve">Mubeen Khan </v>
      </c>
      <c r="C65" s="12">
        <f t="shared" si="4"/>
        <v>0.33026620370370369</v>
      </c>
      <c r="D65" s="12">
        <f>TIMEVALUE(VLOOKUP(Summary!A65,Efficieny,3,0))</f>
        <v>0.16021990740740741</v>
      </c>
      <c r="E65" s="12">
        <f>TIMEVALUE(VLOOKUP(Summary!A65,Break,9,0))</f>
        <v>0.10043981481481483</v>
      </c>
      <c r="F65">
        <f t="shared" si="5"/>
        <v>34</v>
      </c>
      <c r="G65" s="18">
        <f t="shared" si="6"/>
        <v>0.451270369721395</v>
      </c>
    </row>
    <row r="66" spans="1:7">
      <c r="A66" t="str">
        <f>Break!A66</f>
        <v>Hyd_Mukesh Nagar (1008576)</v>
      </c>
      <c r="B66" t="str">
        <f t="shared" si="3"/>
        <v xml:space="preserve">Mukesh Nagar </v>
      </c>
      <c r="C66" s="12">
        <f t="shared" ref="C66:C97" si="7">TIMEVALUE(VLOOKUP(A66,Efficieny,2,0))</f>
        <v>0.20910879629629631</v>
      </c>
      <c r="D66" s="12">
        <f>TIMEVALUE(VLOOKUP(Summary!A66,Efficieny,3,0))</f>
        <v>0.13449074074074074</v>
      </c>
      <c r="E66" s="12">
        <f>TIMEVALUE(VLOOKUP(Summary!A66,Break,9,0))</f>
        <v>2.0532407407407405E-2</v>
      </c>
      <c r="F66">
        <f t="shared" ref="F66:F97" si="8">VLOOKUP(A66,Over,2,0)</f>
        <v>33</v>
      </c>
      <c r="G66" s="18">
        <f t="shared" ref="G66:G97" si="9">VLOOKUP(A66,Efficieny,6,0)</f>
        <v>0.61244257486024201</v>
      </c>
    </row>
    <row r="67" spans="1:7">
      <c r="A67" t="str">
        <f>Break!A67</f>
        <v>Hyd_Nandu Kumar (1008577)</v>
      </c>
      <c r="B67" t="str">
        <f t="shared" ref="B67:B130" si="10">MID(A67,FIND("_",A67,1)+1,FIND("(",A67,1)- FIND("_",A67,2)-1)</f>
        <v xml:space="preserve">Nandu Kumar </v>
      </c>
      <c r="C67" s="12">
        <f t="shared" si="7"/>
        <v>0.34836805555555556</v>
      </c>
      <c r="D67" s="12">
        <f>TIMEVALUE(VLOOKUP(Summary!A67,Efficieny,3,0))</f>
        <v>0.19697916666666668</v>
      </c>
      <c r="E67" s="12">
        <f>TIMEVALUE(VLOOKUP(Summary!A67,Break,9,0))</f>
        <v>5.1423611111111107E-2</v>
      </c>
      <c r="F67">
        <f t="shared" si="8"/>
        <v>32</v>
      </c>
      <c r="G67" s="18">
        <f t="shared" si="9"/>
        <v>0.51755872288115901</v>
      </c>
    </row>
    <row r="68" spans="1:7">
      <c r="A68" t="str">
        <f>Break!A68</f>
        <v>Hyd_Narayan Singh (1008578)</v>
      </c>
      <c r="B68" t="str">
        <f t="shared" si="10"/>
        <v xml:space="preserve">Narayan Singh </v>
      </c>
      <c r="C68" s="12">
        <f t="shared" si="7"/>
        <v>0.34686342592592595</v>
      </c>
      <c r="D68" s="12">
        <f>TIMEVALUE(VLOOKUP(Summary!A68,Efficieny,3,0))</f>
        <v>0.2043865740740741</v>
      </c>
      <c r="E68" s="12">
        <f>TIMEVALUE(VLOOKUP(Summary!A68,Break,9,0))</f>
        <v>4.7534722222222221E-2</v>
      </c>
      <c r="F68">
        <f t="shared" si="8"/>
        <v>31</v>
      </c>
      <c r="G68" s="18">
        <f t="shared" si="9"/>
        <v>0.55550735760285597</v>
      </c>
    </row>
    <row r="69" spans="1:7">
      <c r="A69" t="str">
        <f>Break!A69</f>
        <v>Hyd_Neeraj Saxena (1008579)</v>
      </c>
      <c r="B69" t="str">
        <f t="shared" si="10"/>
        <v xml:space="preserve">Neeraj Saxena </v>
      </c>
      <c r="C69" s="12">
        <f t="shared" si="7"/>
        <v>0.3480671296296296</v>
      </c>
      <c r="D69" s="12">
        <f>TIMEVALUE(VLOOKUP(Summary!A69,Efficieny,3,0))</f>
        <v>0.19177083333333333</v>
      </c>
      <c r="E69" s="12">
        <f>TIMEVALUE(VLOOKUP(Summary!A69,Break,9,0))</f>
        <v>9.3958333333333324E-2</v>
      </c>
      <c r="F69">
        <f t="shared" si="8"/>
        <v>30</v>
      </c>
      <c r="G69" s="18">
        <f t="shared" si="9"/>
        <v>0.45535862734013899</v>
      </c>
    </row>
    <row r="70" spans="1:7">
      <c r="A70" t="str">
        <f>Break!A70</f>
        <v>Hyd_Neeru Mehta (1008580)</v>
      </c>
      <c r="B70" t="str">
        <f t="shared" si="10"/>
        <v xml:space="preserve">Neeru Mehta </v>
      </c>
      <c r="C70" s="12">
        <f t="shared" si="7"/>
        <v>0.33495370370370375</v>
      </c>
      <c r="D70" s="12">
        <f>TIMEVALUE(VLOOKUP(Summary!A70,Efficieny,3,0))</f>
        <v>0.19739583333333333</v>
      </c>
      <c r="E70" s="12">
        <f>TIMEVALUE(VLOOKUP(Summary!A70,Break,9,0))</f>
        <v>4.8645833333333333E-2</v>
      </c>
      <c r="F70">
        <f t="shared" si="8"/>
        <v>29</v>
      </c>
      <c r="G70" s="18">
        <f t="shared" si="9"/>
        <v>0.53445058742225304</v>
      </c>
    </row>
    <row r="71" spans="1:7">
      <c r="A71" t="str">
        <f>Break!A71</f>
        <v>Hyd_Nikita Panwalkar (1008581)</v>
      </c>
      <c r="B71" t="str">
        <f t="shared" si="10"/>
        <v xml:space="preserve">Nikita Panwalkar </v>
      </c>
      <c r="C71" s="12">
        <f t="shared" si="7"/>
        <v>0.34497685185185184</v>
      </c>
      <c r="D71" s="12">
        <f>TIMEVALUE(VLOOKUP(Summary!A71,Efficieny,3,0))</f>
        <v>0.20746527777777779</v>
      </c>
      <c r="E71" s="12">
        <f>TIMEVALUE(VLOOKUP(Summary!A71,Break,9,0))</f>
        <v>6.7650462962962968E-2</v>
      </c>
      <c r="F71">
        <f t="shared" si="8"/>
        <v>28</v>
      </c>
      <c r="G71" s="18">
        <f t="shared" si="9"/>
        <v>0.55914916459773201</v>
      </c>
    </row>
    <row r="72" spans="1:7">
      <c r="A72" t="str">
        <f>Break!A72</f>
        <v>Hyd_Nitin Bhatia (1008582)</v>
      </c>
      <c r="B72" t="str">
        <f t="shared" si="10"/>
        <v xml:space="preserve">Nitin Bhatia </v>
      </c>
      <c r="C72" s="12">
        <f t="shared" si="7"/>
        <v>0.33376157407407409</v>
      </c>
      <c r="D72" s="12">
        <f>TIMEVALUE(VLOOKUP(Summary!A72,Efficieny,3,0))</f>
        <v>0.19787037037037036</v>
      </c>
      <c r="E72" s="12">
        <f>TIMEVALUE(VLOOKUP(Summary!A72,Break,9,0))</f>
        <v>4.853009259259259E-2</v>
      </c>
      <c r="F72">
        <f t="shared" si="8"/>
        <v>29</v>
      </c>
      <c r="G72" s="18">
        <f t="shared" si="9"/>
        <v>0.56847106148351101</v>
      </c>
    </row>
    <row r="73" spans="1:7">
      <c r="A73" t="str">
        <f>Break!A73</f>
        <v>Hyd_Om Prakash (1008583)</v>
      </c>
      <c r="B73" t="str">
        <f t="shared" si="10"/>
        <v xml:space="preserve">Om Prakash </v>
      </c>
      <c r="C73" s="12">
        <f t="shared" si="7"/>
        <v>0.33037037037037037</v>
      </c>
      <c r="D73" s="12">
        <f>TIMEVALUE(VLOOKUP(Summary!A73,Efficieny,3,0))</f>
        <v>0.1849652777777778</v>
      </c>
      <c r="E73" s="12">
        <f>TIMEVALUE(VLOOKUP(Summary!A73,Break,9,0))</f>
        <v>6.6701388888888893E-2</v>
      </c>
      <c r="F73">
        <f t="shared" si="8"/>
        <v>30</v>
      </c>
      <c r="G73" s="18">
        <f t="shared" si="9"/>
        <v>0.47509108744394601</v>
      </c>
    </row>
    <row r="74" spans="1:7">
      <c r="A74" t="str">
        <f>Break!A74</f>
        <v>Hyd_Omprakash O (1008584)</v>
      </c>
      <c r="B74" t="str">
        <f t="shared" si="10"/>
        <v xml:space="preserve">Omprakash O </v>
      </c>
      <c r="C74" s="12">
        <f t="shared" si="7"/>
        <v>0.34008101851851852</v>
      </c>
      <c r="D74" s="12">
        <f>TIMEVALUE(VLOOKUP(Summary!A74,Efficieny,3,0))</f>
        <v>0.16811342592592593</v>
      </c>
      <c r="E74" s="12">
        <f>TIMEVALUE(VLOOKUP(Summary!A74,Break,9,0))</f>
        <v>9.1597222222222219E-2</v>
      </c>
      <c r="F74">
        <f t="shared" si="8"/>
        <v>31</v>
      </c>
      <c r="G74" s="18">
        <f t="shared" si="9"/>
        <v>0.47578531804104401</v>
      </c>
    </row>
    <row r="75" spans="1:7">
      <c r="A75" t="str">
        <f>Break!A75</f>
        <v>Hyd_Owais Mohd (1008585)</v>
      </c>
      <c r="B75" t="str">
        <f t="shared" si="10"/>
        <v xml:space="preserve">Owais Mohd </v>
      </c>
      <c r="C75" s="12">
        <f t="shared" si="7"/>
        <v>0.33415509259259263</v>
      </c>
      <c r="D75" s="12">
        <f>TIMEVALUE(VLOOKUP(Summary!A75,Efficieny,3,0))</f>
        <v>0.16863425925925926</v>
      </c>
      <c r="E75" s="12">
        <f>TIMEVALUE(VLOOKUP(Summary!A75,Break,9,0))</f>
        <v>0.10168981481481482</v>
      </c>
      <c r="F75">
        <f t="shared" si="8"/>
        <v>32</v>
      </c>
      <c r="G75" s="18">
        <f t="shared" si="9"/>
        <v>0.46898271622042897</v>
      </c>
    </row>
    <row r="76" spans="1:7">
      <c r="A76" t="str">
        <f>Break!A76</f>
        <v>Hyd_Pankaj Shelkey (1008586)</v>
      </c>
      <c r="B76" t="str">
        <f t="shared" si="10"/>
        <v xml:space="preserve">Pankaj Shelkey </v>
      </c>
      <c r="C76" s="12">
        <f t="shared" si="7"/>
        <v>0.34437500000000004</v>
      </c>
      <c r="D76" s="12">
        <f>TIMEVALUE(VLOOKUP(Summary!A76,Efficieny,3,0))</f>
        <v>0.18534722222222222</v>
      </c>
      <c r="E76" s="12">
        <f>TIMEVALUE(VLOOKUP(Summary!A76,Break,9,0))</f>
        <v>8.0162037037037046E-2</v>
      </c>
      <c r="F76">
        <f t="shared" si="8"/>
        <v>33</v>
      </c>
      <c r="G76" s="18">
        <f t="shared" si="9"/>
        <v>0.51361161524500898</v>
      </c>
    </row>
    <row r="77" spans="1:7">
      <c r="A77" t="str">
        <f>Break!A77</f>
        <v>Hyd_Partha Sarathi (1008587)</v>
      </c>
      <c r="B77" t="str">
        <f t="shared" si="10"/>
        <v xml:space="preserve">Partha Sarathi </v>
      </c>
      <c r="C77" s="12">
        <f t="shared" si="7"/>
        <v>0.3558101851851852</v>
      </c>
      <c r="D77" s="12">
        <f>TIMEVALUE(VLOOKUP(Summary!A77,Efficieny,3,0))</f>
        <v>0.21642361111111111</v>
      </c>
      <c r="E77" s="12">
        <f>TIMEVALUE(VLOOKUP(Summary!A77,Break,9,0))</f>
        <v>6.8541666666666667E-2</v>
      </c>
      <c r="F77">
        <f t="shared" si="8"/>
        <v>34</v>
      </c>
      <c r="G77" s="18">
        <f t="shared" si="9"/>
        <v>0.525112224318522</v>
      </c>
    </row>
    <row r="78" spans="1:7">
      <c r="A78" t="str">
        <f>Break!A78</f>
        <v>Hyd_Prabha Desikan (1008588)</v>
      </c>
      <c r="B78" t="str">
        <f t="shared" si="10"/>
        <v xml:space="preserve">Prabha Desikan </v>
      </c>
      <c r="C78" s="12">
        <f t="shared" si="7"/>
        <v>0.34848379629629633</v>
      </c>
      <c r="D78" s="12">
        <f>TIMEVALUE(VLOOKUP(Summary!A78,Efficieny,3,0))</f>
        <v>0.12767361111111111</v>
      </c>
      <c r="E78" s="12">
        <f>TIMEVALUE(VLOOKUP(Summary!A78,Break,9,0))</f>
        <v>0.17460648148148147</v>
      </c>
      <c r="F78">
        <f t="shared" si="8"/>
        <v>35</v>
      </c>
      <c r="G78" s="18">
        <f t="shared" si="9"/>
        <v>0.348600086352918</v>
      </c>
    </row>
    <row r="79" spans="1:7">
      <c r="A79" t="str">
        <f>Break!A79</f>
        <v>Hyd_Pramod Tiwari (1008589)</v>
      </c>
      <c r="B79" t="str">
        <f t="shared" si="10"/>
        <v xml:space="preserve">Pramod Tiwari </v>
      </c>
      <c r="C79" s="12">
        <f t="shared" si="7"/>
        <v>0.35092592592592592</v>
      </c>
      <c r="D79" s="12">
        <f>TIMEVALUE(VLOOKUP(Summary!A79,Efficieny,3,0))</f>
        <v>0.12086805555555556</v>
      </c>
      <c r="E79" s="12">
        <f>TIMEVALUE(VLOOKUP(Summary!A79,Break,9,0))</f>
        <v>0.18131944444444445</v>
      </c>
      <c r="F79">
        <f t="shared" si="8"/>
        <v>36</v>
      </c>
      <c r="G79" s="18">
        <f t="shared" si="9"/>
        <v>0.314709762532982</v>
      </c>
    </row>
    <row r="80" spans="1:7">
      <c r="A80" t="str">
        <f>Break!A80</f>
        <v>Hyd_Prasannakumari S (1008590)</v>
      </c>
      <c r="B80" t="str">
        <f t="shared" si="10"/>
        <v xml:space="preserve">Prasannakumari S </v>
      </c>
      <c r="C80" s="12">
        <f t="shared" si="7"/>
        <v>0.33891203703703704</v>
      </c>
      <c r="D80" s="12">
        <f>TIMEVALUE(VLOOKUP(Summary!A80,Efficieny,3,0))</f>
        <v>0.21581018518518516</v>
      </c>
      <c r="E80" s="12">
        <f>TIMEVALUE(VLOOKUP(Summary!A80,Break,9,0))</f>
        <v>4.8900462962962965E-2</v>
      </c>
      <c r="F80">
        <f t="shared" si="8"/>
        <v>37</v>
      </c>
      <c r="G80" s="18">
        <f t="shared" si="9"/>
        <v>0.55600710333993597</v>
      </c>
    </row>
    <row r="81" spans="1:7">
      <c r="A81" t="str">
        <f>Break!A81</f>
        <v>Hyd_Praveen Kumar (1008591)</v>
      </c>
      <c r="B81" t="str">
        <f t="shared" si="10"/>
        <v xml:space="preserve">Praveen Kumar </v>
      </c>
      <c r="C81" s="12">
        <f t="shared" si="7"/>
        <v>0.34675925925925927</v>
      </c>
      <c r="D81" s="12">
        <f>TIMEVALUE(VLOOKUP(Summary!A81,Efficieny,3,0))</f>
        <v>0.17275462962962962</v>
      </c>
      <c r="E81" s="12">
        <f>TIMEVALUE(VLOOKUP(Summary!A81,Break,9,0))</f>
        <v>0.10935185185185185</v>
      </c>
      <c r="F81">
        <f t="shared" si="8"/>
        <v>38</v>
      </c>
      <c r="G81" s="18">
        <f t="shared" si="9"/>
        <v>0.46221628838451301</v>
      </c>
    </row>
    <row r="82" spans="1:7">
      <c r="A82" t="str">
        <f>Break!A82</f>
        <v>Hyd_Rachel Mathew (1008592)</v>
      </c>
      <c r="B82" t="str">
        <f t="shared" si="10"/>
        <v xml:space="preserve">Rachel Mathew </v>
      </c>
      <c r="C82" s="12">
        <f t="shared" si="7"/>
        <v>0.3511111111111111</v>
      </c>
      <c r="D82" s="12">
        <f>TIMEVALUE(VLOOKUP(Summary!A82,Efficieny,3,0))</f>
        <v>0.15339120370370371</v>
      </c>
      <c r="E82" s="12">
        <f>TIMEVALUE(VLOOKUP(Summary!A82,Break,9,0))</f>
        <v>0.13890046296296296</v>
      </c>
      <c r="F82">
        <f t="shared" si="8"/>
        <v>39</v>
      </c>
      <c r="G82" s="18">
        <f t="shared" si="9"/>
        <v>0.39075685654008402</v>
      </c>
    </row>
    <row r="83" spans="1:7">
      <c r="A83" t="str">
        <f>Break!A83</f>
        <v>Hyd_Rachita Anupam (1008593)</v>
      </c>
      <c r="B83" t="str">
        <f t="shared" si="10"/>
        <v xml:space="preserve">Rachita Anupam </v>
      </c>
      <c r="C83" s="12">
        <f t="shared" si="7"/>
        <v>0.3447453703703704</v>
      </c>
      <c r="D83" s="12">
        <f>TIMEVALUE(VLOOKUP(Summary!A83,Efficieny,3,0))</f>
        <v>0.21947916666666667</v>
      </c>
      <c r="E83" s="12">
        <f>TIMEVALUE(VLOOKUP(Summary!A83,Break,9,0))</f>
        <v>4.7592592592592596E-2</v>
      </c>
      <c r="F83">
        <f t="shared" si="8"/>
        <v>40</v>
      </c>
      <c r="G83" s="18">
        <f t="shared" si="9"/>
        <v>0.54713623850130899</v>
      </c>
    </row>
    <row r="84" spans="1:7">
      <c r="A84" t="str">
        <f>Break!A84</f>
        <v>Hyd_Rachna Chauhan (1008594)</v>
      </c>
      <c r="B84" t="str">
        <f t="shared" si="10"/>
        <v xml:space="preserve">Rachna Chauhan </v>
      </c>
      <c r="C84" s="12">
        <f t="shared" si="7"/>
        <v>0.3167476851851852</v>
      </c>
      <c r="D84" s="12">
        <f>TIMEVALUE(VLOOKUP(Summary!A84,Efficieny,3,0))</f>
        <v>0.21346064814814814</v>
      </c>
      <c r="E84" s="12">
        <f>TIMEVALUE(VLOOKUP(Summary!A84,Break,9,0))</f>
        <v>2.1064814814814814E-2</v>
      </c>
      <c r="F84">
        <f t="shared" si="8"/>
        <v>41</v>
      </c>
      <c r="G84" s="18">
        <f t="shared" si="9"/>
        <v>0.61457229509993805</v>
      </c>
    </row>
    <row r="85" spans="1:7">
      <c r="A85" t="str">
        <f>Break!A85</f>
        <v>Hyd_Raj Kumar (1008595)</v>
      </c>
      <c r="B85" t="str">
        <f t="shared" si="10"/>
        <v xml:space="preserve">Raj Kumar </v>
      </c>
      <c r="C85" s="12">
        <f t="shared" si="7"/>
        <v>0.34024305555555556</v>
      </c>
      <c r="D85" s="12">
        <f>TIMEVALUE(VLOOKUP(Summary!A85,Efficieny,3,0))</f>
        <v>0.21100694444444446</v>
      </c>
      <c r="E85" s="12">
        <f>TIMEVALUE(VLOOKUP(Summary!A85,Break,9,0))</f>
        <v>4.7731481481481486E-2</v>
      </c>
      <c r="F85">
        <f t="shared" si="8"/>
        <v>42</v>
      </c>
      <c r="G85" s="18">
        <f t="shared" si="9"/>
        <v>0.55335578460387103</v>
      </c>
    </row>
    <row r="86" spans="1:7">
      <c r="A86" t="str">
        <f>Break!A86</f>
        <v>Hyd_Rajeev Garg (1008596)</v>
      </c>
      <c r="B86" t="str">
        <f t="shared" si="10"/>
        <v xml:space="preserve">Rajeev Garg </v>
      </c>
      <c r="C86" s="12">
        <f t="shared" si="7"/>
        <v>0.33611111111111108</v>
      </c>
      <c r="D86" s="12">
        <f>TIMEVALUE(VLOOKUP(Summary!A86,Efficieny,3,0))</f>
        <v>0.21214120370370371</v>
      </c>
      <c r="E86" s="12">
        <f>TIMEVALUE(VLOOKUP(Summary!A86,Break,9,0))</f>
        <v>4.7500000000000007E-2</v>
      </c>
      <c r="F86">
        <f t="shared" si="8"/>
        <v>43</v>
      </c>
      <c r="G86" s="18">
        <f t="shared" si="9"/>
        <v>0.611363636363636</v>
      </c>
    </row>
    <row r="87" spans="1:7">
      <c r="A87" t="str">
        <f>Break!A87</f>
        <v>Hyd_Rajeev Kumar (1008597)</v>
      </c>
      <c r="B87" t="str">
        <f t="shared" si="10"/>
        <v xml:space="preserve">Rajeev Kumar </v>
      </c>
      <c r="C87" s="12">
        <f t="shared" si="7"/>
        <v>0.3331365740740741</v>
      </c>
      <c r="D87" s="12">
        <f>TIMEVALUE(VLOOKUP(Summary!A87,Efficieny,3,0))</f>
        <v>0.18670138888888888</v>
      </c>
      <c r="E87" s="12">
        <f>TIMEVALUE(VLOOKUP(Summary!A87,Break,9,0))</f>
        <v>6.7430555555555563E-2</v>
      </c>
      <c r="F87">
        <f t="shared" si="8"/>
        <v>44</v>
      </c>
      <c r="G87" s="18">
        <f t="shared" si="9"/>
        <v>0.51217732689434703</v>
      </c>
    </row>
    <row r="88" spans="1:7">
      <c r="A88" t="str">
        <f>Break!A88</f>
        <v>Hyd_Rajendra Gupta (1008598)</v>
      </c>
      <c r="B88" t="str">
        <f t="shared" si="10"/>
        <v xml:space="preserve">Rajendra Gupta </v>
      </c>
      <c r="C88" s="12">
        <f t="shared" si="7"/>
        <v>0.35135416666666663</v>
      </c>
      <c r="D88" s="12">
        <f>TIMEVALUE(VLOOKUP(Summary!A88,Efficieny,3,0))</f>
        <v>0.20708333333333331</v>
      </c>
      <c r="E88" s="12">
        <f>TIMEVALUE(VLOOKUP(Summary!A88,Break,9,0))</f>
        <v>5.4953703703703706E-2</v>
      </c>
      <c r="F88">
        <f t="shared" si="8"/>
        <v>45</v>
      </c>
      <c r="G88" s="18">
        <f t="shared" si="9"/>
        <v>0.56029910728991705</v>
      </c>
    </row>
    <row r="89" spans="1:7">
      <c r="A89" t="str">
        <f>Break!A89</f>
        <v>Hyd_Rajendra Kumar (1008599)</v>
      </c>
      <c r="B89" t="str">
        <f t="shared" si="10"/>
        <v xml:space="preserve">Rajendra Kumar </v>
      </c>
      <c r="C89" s="12">
        <f t="shared" si="7"/>
        <v>0.34356481481481477</v>
      </c>
      <c r="D89" s="12">
        <f>TIMEVALUE(VLOOKUP(Summary!A89,Efficieny,3,0))</f>
        <v>0.16344907407407408</v>
      </c>
      <c r="E89" s="12">
        <f>TIMEVALUE(VLOOKUP(Summary!A89,Break,9,0))</f>
        <v>0.10712962962962963</v>
      </c>
      <c r="F89">
        <f t="shared" si="8"/>
        <v>46</v>
      </c>
      <c r="G89" s="18">
        <f t="shared" si="9"/>
        <v>0.42891793558819602</v>
      </c>
    </row>
    <row r="90" spans="1:7">
      <c r="A90" t="str">
        <f>Break!A90</f>
        <v>Hyd_Rajendra Prasad (1008600)</v>
      </c>
      <c r="B90" t="str">
        <f t="shared" si="10"/>
        <v xml:space="preserve">Rajendra Prasad </v>
      </c>
      <c r="C90" s="12">
        <f t="shared" si="7"/>
        <v>0.34900462962962964</v>
      </c>
      <c r="D90" s="12">
        <f>TIMEVALUE(VLOOKUP(Summary!A90,Efficieny,3,0))</f>
        <v>3.3715277777777775E-2</v>
      </c>
      <c r="E90" s="12">
        <f>TIMEVALUE(VLOOKUP(Summary!A90,Break,9,0))</f>
        <v>0.29744212962962963</v>
      </c>
      <c r="F90">
        <f t="shared" si="8"/>
        <v>47</v>
      </c>
      <c r="G90" s="18">
        <f t="shared" si="9"/>
        <v>9.4547987000066294E-2</v>
      </c>
    </row>
    <row r="91" spans="1:7">
      <c r="A91" t="str">
        <f>Break!A91</f>
        <v>Hyd_Rajesh Kumar (1008601)</v>
      </c>
      <c r="B91" t="str">
        <f t="shared" si="10"/>
        <v xml:space="preserve">Rajesh Kumar </v>
      </c>
      <c r="C91" s="12">
        <f t="shared" si="7"/>
        <v>0.33378472222222227</v>
      </c>
      <c r="D91" s="12">
        <f>TIMEVALUE(VLOOKUP(Summary!A91,Efficieny,3,0))</f>
        <v>0.21655092592592592</v>
      </c>
      <c r="E91" s="12">
        <f>TIMEVALUE(VLOOKUP(Summary!A91,Break,9,0))</f>
        <v>5.004629629629629E-2</v>
      </c>
      <c r="F91">
        <f t="shared" si="8"/>
        <v>48</v>
      </c>
      <c r="G91" s="18">
        <f t="shared" si="9"/>
        <v>0.61021533340268397</v>
      </c>
    </row>
    <row r="92" spans="1:7">
      <c r="A92" t="str">
        <f>Break!A92</f>
        <v>Hyd_Rajesh Kumar (1008602)</v>
      </c>
      <c r="B92" t="str">
        <f t="shared" si="10"/>
        <v xml:space="preserve">Rajesh Kumar </v>
      </c>
      <c r="C92" s="12">
        <f t="shared" si="7"/>
        <v>0.34559027777777779</v>
      </c>
      <c r="D92" s="12">
        <f>TIMEVALUE(VLOOKUP(Summary!A92,Efficieny,3,0))</f>
        <v>0.2011574074074074</v>
      </c>
      <c r="E92" s="12">
        <f>TIMEVALUE(VLOOKUP(Summary!A92,Break,9,0))</f>
        <v>8.790509259259259E-2</v>
      </c>
      <c r="F92">
        <f t="shared" si="8"/>
        <v>49</v>
      </c>
      <c r="G92" s="18">
        <f t="shared" si="9"/>
        <v>0.51260926353863201</v>
      </c>
    </row>
    <row r="93" spans="1:7">
      <c r="A93" t="str">
        <f>Break!A93</f>
        <v>Hyd_Rajesh Sharma (1008603)</v>
      </c>
      <c r="B93" t="str">
        <f t="shared" si="10"/>
        <v xml:space="preserve">Rajesh Sharma </v>
      </c>
      <c r="C93" s="12">
        <f t="shared" si="7"/>
        <v>0.21146990740740743</v>
      </c>
      <c r="D93" s="12">
        <f>TIMEVALUE(VLOOKUP(Summary!A93,Efficieny,3,0))</f>
        <v>0.14190972222222223</v>
      </c>
      <c r="E93" s="12">
        <f>TIMEVALUE(VLOOKUP(Summary!A93,Break,9,0))</f>
        <v>1.6979166666666667E-2</v>
      </c>
      <c r="F93">
        <f t="shared" si="8"/>
        <v>50</v>
      </c>
      <c r="G93" s="18">
        <f t="shared" si="9"/>
        <v>0.62426796562859199</v>
      </c>
    </row>
    <row r="94" spans="1:7">
      <c r="A94" t="str">
        <f>Break!A94</f>
        <v>Hyd_Raji Abraham (1008604)</v>
      </c>
      <c r="B94" t="str">
        <f t="shared" si="10"/>
        <v xml:space="preserve">Raji Abraham </v>
      </c>
      <c r="C94" s="12">
        <f t="shared" si="7"/>
        <v>0.34075231481481483</v>
      </c>
      <c r="D94" s="12">
        <f>TIMEVALUE(VLOOKUP(Summary!A94,Efficieny,3,0))</f>
        <v>0.1976273148148148</v>
      </c>
      <c r="E94" s="12">
        <f>TIMEVALUE(VLOOKUP(Summary!A94,Break,9,0))</f>
        <v>4.8240740740740744E-2</v>
      </c>
      <c r="F94">
        <f t="shared" si="8"/>
        <v>51</v>
      </c>
      <c r="G94" s="18">
        <f t="shared" si="9"/>
        <v>0.54373153085832704</v>
      </c>
    </row>
    <row r="95" spans="1:7">
      <c r="A95" t="str">
        <f>Break!A95</f>
        <v>Hyd_Rajshree Dhabekar (1008605)</v>
      </c>
      <c r="B95" t="str">
        <f t="shared" si="10"/>
        <v xml:space="preserve">Rajshree Dhabekar </v>
      </c>
      <c r="C95" s="12">
        <f t="shared" si="7"/>
        <v>0.34390046296296295</v>
      </c>
      <c r="D95" s="12" t="e">
        <f>TIMEVALUE(VLOOKUP(Summary!A95,Efficieny,3,0))</f>
        <v>#VALUE!</v>
      </c>
      <c r="E95" s="12">
        <f>TIMEVALUE(VLOOKUP(Summary!A95,Break,9,0))</f>
        <v>0.34385416666666663</v>
      </c>
      <c r="F95">
        <f t="shared" si="8"/>
        <v>52</v>
      </c>
      <c r="G95" s="18">
        <f t="shared" si="9"/>
        <v>0</v>
      </c>
    </row>
    <row r="96" spans="1:7">
      <c r="A96" t="str">
        <f>Break!A96</f>
        <v>Hyd_Rakhi Jodhani (1008606)</v>
      </c>
      <c r="B96" t="str">
        <f t="shared" si="10"/>
        <v xml:space="preserve">Rakhi Jodhani </v>
      </c>
      <c r="C96" s="12">
        <f t="shared" si="7"/>
        <v>0.33532407407407411</v>
      </c>
      <c r="D96" s="12">
        <f>TIMEVALUE(VLOOKUP(Summary!A96,Efficieny,3,0))</f>
        <v>5.0763888888888886E-2</v>
      </c>
      <c r="E96" s="12">
        <f>TIMEVALUE(VLOOKUP(Summary!A96,Break,9,0))</f>
        <v>0.27759259259259261</v>
      </c>
      <c r="F96">
        <f t="shared" si="8"/>
        <v>53</v>
      </c>
      <c r="G96" s="18">
        <f t="shared" si="9"/>
        <v>0.14431174927516199</v>
      </c>
    </row>
    <row r="97" spans="1:7">
      <c r="A97" t="str">
        <f>Break!A97</f>
        <v>Hyd_Ramji Prasad (1008607)</v>
      </c>
      <c r="B97" t="str">
        <f t="shared" si="10"/>
        <v xml:space="preserve">Ramji Prasad </v>
      </c>
      <c r="C97" s="12">
        <f t="shared" si="7"/>
        <v>0.34682870370370367</v>
      </c>
      <c r="D97" s="12">
        <f>TIMEVALUE(VLOOKUP(Summary!A97,Efficieny,3,0))</f>
        <v>0.20351851851851852</v>
      </c>
      <c r="E97" s="12">
        <f>TIMEVALUE(VLOOKUP(Summary!A97,Break,9,0))</f>
        <v>5.122685185185185E-2</v>
      </c>
      <c r="F97">
        <f t="shared" si="8"/>
        <v>54</v>
      </c>
      <c r="G97" s="18">
        <f t="shared" si="9"/>
        <v>0.55259293866381898</v>
      </c>
    </row>
    <row r="98" spans="1:7">
      <c r="A98" t="str">
        <f>Break!A98</f>
        <v>Del_Rashid (1008608)</v>
      </c>
      <c r="B98" t="str">
        <f t="shared" si="10"/>
        <v xml:space="preserve">Rashid </v>
      </c>
      <c r="C98" s="12">
        <f t="shared" ref="C98:C129" si="11">TIMEVALUE(VLOOKUP(A98,Efficieny,2,0))</f>
        <v>0.33483796296296298</v>
      </c>
      <c r="D98" s="12">
        <f>TIMEVALUE(VLOOKUP(Summary!A98,Efficieny,3,0))</f>
        <v>6.6759259259259254E-2</v>
      </c>
      <c r="E98" s="12">
        <f>TIMEVALUE(VLOOKUP(Summary!A98,Break,9,0))</f>
        <v>0.23973379629629629</v>
      </c>
      <c r="F98">
        <f t="shared" ref="F98:F129" si="12">VLOOKUP(A98,Over,2,0)</f>
        <v>55</v>
      </c>
      <c r="G98" s="18">
        <f t="shared" ref="G98:G129" si="13">VLOOKUP(A98,Efficieny,6,0)</f>
        <v>0.18938817836156199</v>
      </c>
    </row>
    <row r="99" spans="1:7">
      <c r="A99" t="str">
        <f>Break!A99</f>
        <v>Del_Rashmi Gajbe (1008609)</v>
      </c>
      <c r="B99" t="str">
        <f t="shared" si="10"/>
        <v xml:space="preserve">Rashmi Gajbe </v>
      </c>
      <c r="C99" s="12">
        <f t="shared" si="11"/>
        <v>0.34770833333333334</v>
      </c>
      <c r="D99" s="12">
        <f>TIMEVALUE(VLOOKUP(Summary!A99,Efficieny,3,0))</f>
        <v>0.1784375</v>
      </c>
      <c r="E99" s="12">
        <f>TIMEVALUE(VLOOKUP(Summary!A99,Break,9,0))</f>
        <v>8.6782407407407405E-2</v>
      </c>
      <c r="F99">
        <f t="shared" si="12"/>
        <v>56</v>
      </c>
      <c r="G99" s="18">
        <f t="shared" si="13"/>
        <v>0.47077424938419499</v>
      </c>
    </row>
    <row r="100" spans="1:7">
      <c r="A100" t="str">
        <f>Break!A100</f>
        <v>Del_Ravi Kumar (1008610)</v>
      </c>
      <c r="B100" t="str">
        <f t="shared" si="10"/>
        <v xml:space="preserve">Ravi Kumar </v>
      </c>
      <c r="C100" s="12">
        <f t="shared" si="11"/>
        <v>0.33384259259259258</v>
      </c>
      <c r="D100" s="12">
        <f>TIMEVALUE(VLOOKUP(Summary!A100,Efficieny,3,0))</f>
        <v>0.19934027777777777</v>
      </c>
      <c r="E100" s="12">
        <f>TIMEVALUE(VLOOKUP(Summary!A100,Break,9,0))</f>
        <v>4.9467592592592591E-2</v>
      </c>
      <c r="F100">
        <f t="shared" si="12"/>
        <v>57</v>
      </c>
      <c r="G100" s="18">
        <f t="shared" si="13"/>
        <v>0.53862155040909698</v>
      </c>
    </row>
    <row r="101" spans="1:7">
      <c r="A101" t="str">
        <f>Break!A101</f>
        <v>Del_Ravinder Kaur (1008611)</v>
      </c>
      <c r="B101" t="str">
        <f t="shared" si="10"/>
        <v xml:space="preserve">Ravinder Kaur </v>
      </c>
      <c r="C101" s="12">
        <f t="shared" si="11"/>
        <v>0.3346412037037037</v>
      </c>
      <c r="D101" s="12">
        <f>TIMEVALUE(VLOOKUP(Summary!A101,Efficieny,3,0))</f>
        <v>0.19371527777777778</v>
      </c>
      <c r="E101" s="12">
        <f>TIMEVALUE(VLOOKUP(Summary!A101,Break,9,0))</f>
        <v>4.8240740740740744E-2</v>
      </c>
      <c r="F101">
        <f t="shared" si="12"/>
        <v>58</v>
      </c>
      <c r="G101" s="18">
        <f t="shared" si="13"/>
        <v>0.53294365856189296</v>
      </c>
    </row>
    <row r="102" spans="1:7">
      <c r="A102" t="str">
        <f>Break!A102</f>
        <v>Del_Rekha Agarwal (1008612)</v>
      </c>
      <c r="B102" t="str">
        <f t="shared" si="10"/>
        <v xml:space="preserve">Rekha Agarwal </v>
      </c>
      <c r="C102" s="12">
        <f t="shared" si="11"/>
        <v>0.24574074074074073</v>
      </c>
      <c r="D102" s="12">
        <f>TIMEVALUE(VLOOKUP(Summary!A102,Efficieny,3,0))</f>
        <v>0.1202199074074074</v>
      </c>
      <c r="E102" s="12">
        <f>TIMEVALUE(VLOOKUP(Summary!A102,Break,9,0))</f>
        <v>0.11229166666666668</v>
      </c>
      <c r="F102">
        <f t="shared" si="12"/>
        <v>59</v>
      </c>
      <c r="G102" s="18">
        <f t="shared" si="13"/>
        <v>0.41310286360211002</v>
      </c>
    </row>
    <row r="103" spans="1:7">
      <c r="A103" t="str">
        <f>Break!A103</f>
        <v>Del_Rekha Gupta (1008613)</v>
      </c>
      <c r="B103" t="str">
        <f t="shared" si="10"/>
        <v xml:space="preserve">Rekha Gupta </v>
      </c>
      <c r="C103" s="12">
        <f t="shared" si="11"/>
        <v>0.34446759259259263</v>
      </c>
      <c r="D103" s="12">
        <f>TIMEVALUE(VLOOKUP(Summary!A103,Efficieny,3,0))</f>
        <v>0.18254629629629629</v>
      </c>
      <c r="E103" s="12">
        <f>TIMEVALUE(VLOOKUP(Summary!A103,Break,9,0))</f>
        <v>7.6817129629629624E-2</v>
      </c>
      <c r="F103">
        <f t="shared" si="12"/>
        <v>60</v>
      </c>
      <c r="G103" s="18">
        <f t="shared" si="13"/>
        <v>0.50483838451717</v>
      </c>
    </row>
    <row r="104" spans="1:7">
      <c r="A104" t="str">
        <f>Break!A104</f>
        <v>Del_Rekha Jain  (1008614)</v>
      </c>
      <c r="B104" t="str">
        <f t="shared" si="10"/>
        <v xml:space="preserve">Rekha Jain  </v>
      </c>
      <c r="C104" s="12">
        <f t="shared" si="11"/>
        <v>0.34423611111111113</v>
      </c>
      <c r="D104" s="12">
        <f>TIMEVALUE(VLOOKUP(Summary!A104,Efficieny,3,0))</f>
        <v>0.18436342592592592</v>
      </c>
      <c r="E104" s="12">
        <f>TIMEVALUE(VLOOKUP(Summary!A104,Break,9,0))</f>
        <v>6.732638888888888E-2</v>
      </c>
      <c r="F104">
        <f t="shared" si="12"/>
        <v>61</v>
      </c>
      <c r="G104" s="18">
        <f t="shared" si="13"/>
        <v>0.52390558805729304</v>
      </c>
    </row>
    <row r="105" spans="1:7">
      <c r="A105" t="str">
        <f>Break!A105</f>
        <v>Del_Renu Pratap (1008615)</v>
      </c>
      <c r="B105" t="str">
        <f t="shared" si="10"/>
        <v xml:space="preserve">Renu Pratap </v>
      </c>
      <c r="C105" s="12">
        <f t="shared" si="11"/>
        <v>0.34479166666666666</v>
      </c>
      <c r="D105" s="12">
        <f>TIMEVALUE(VLOOKUP(Summary!A105,Efficieny,3,0))</f>
        <v>0.10450231481481481</v>
      </c>
      <c r="E105" s="12">
        <f>TIMEVALUE(VLOOKUP(Summary!A105,Break,9,0))</f>
        <v>0.21383101851851852</v>
      </c>
      <c r="F105">
        <f t="shared" si="12"/>
        <v>62</v>
      </c>
      <c r="G105" s="18">
        <f t="shared" si="13"/>
        <v>0.25444780127559602</v>
      </c>
    </row>
    <row r="106" spans="1:7">
      <c r="A106" t="str">
        <f>Break!A106</f>
        <v>Del_Ritu Bhatnagar (1008616)</v>
      </c>
      <c r="B106" t="str">
        <f t="shared" si="10"/>
        <v xml:space="preserve">Ritu Bhatnagar </v>
      </c>
      <c r="C106" s="12">
        <f t="shared" si="11"/>
        <v>0.33458333333333329</v>
      </c>
      <c r="D106" s="12">
        <f>TIMEVALUE(VLOOKUP(Summary!A106,Efficieny,3,0))</f>
        <v>0.20292824074074076</v>
      </c>
      <c r="E106" s="12">
        <f>TIMEVALUE(VLOOKUP(Summary!A106,Break,9,0))</f>
        <v>5.092592592592593E-2</v>
      </c>
      <c r="F106">
        <f t="shared" si="12"/>
        <v>63</v>
      </c>
      <c r="G106" s="18">
        <f t="shared" si="13"/>
        <v>0.55517503805174995</v>
      </c>
    </row>
    <row r="107" spans="1:7">
      <c r="A107" t="str">
        <f>Break!A107</f>
        <v>Del_Rohit Nishchal (1008617)</v>
      </c>
      <c r="B107" t="str">
        <f t="shared" si="10"/>
        <v xml:space="preserve">Rohit Nishchal </v>
      </c>
      <c r="C107" s="12">
        <f t="shared" si="11"/>
        <v>0.34524305555555551</v>
      </c>
      <c r="D107" s="12" t="e">
        <f>TIMEVALUE(VLOOKUP(Summary!A107,Efficieny,3,0))</f>
        <v>#VALUE!</v>
      </c>
      <c r="E107" s="12">
        <f>TIMEVALUE(VLOOKUP(Summary!A107,Break,9,0))</f>
        <v>0.34513888888888888</v>
      </c>
      <c r="F107">
        <f t="shared" si="12"/>
        <v>64</v>
      </c>
      <c r="G107" s="18">
        <f t="shared" si="13"/>
        <v>0</v>
      </c>
    </row>
    <row r="108" spans="1:7">
      <c r="A108" t="str">
        <f>Break!A108</f>
        <v>Del_Roli Bhatnagar (1008618)</v>
      </c>
      <c r="B108" t="str">
        <f t="shared" si="10"/>
        <v xml:space="preserve">Roli Bhatnagar </v>
      </c>
      <c r="C108" s="12">
        <f t="shared" si="11"/>
        <v>0.34424768518518517</v>
      </c>
      <c r="D108" s="12">
        <f>TIMEVALUE(VLOOKUP(Summary!A108,Efficieny,3,0))</f>
        <v>0.17256944444444444</v>
      </c>
      <c r="E108" s="12">
        <f>TIMEVALUE(VLOOKUP(Summary!A108,Break,9,0))</f>
        <v>9.0462962962962967E-2</v>
      </c>
      <c r="F108">
        <f t="shared" si="12"/>
        <v>65</v>
      </c>
      <c r="G108" s="18">
        <f t="shared" si="13"/>
        <v>0.477120667047709</v>
      </c>
    </row>
    <row r="109" spans="1:7">
      <c r="A109" t="str">
        <f>Break!A109</f>
        <v>Del_Roma Rastogi (1008619)</v>
      </c>
      <c r="B109" t="str">
        <f t="shared" si="10"/>
        <v xml:space="preserve">Roma Rastogi </v>
      </c>
      <c r="C109" s="12">
        <f t="shared" si="11"/>
        <v>0.35488425925925932</v>
      </c>
      <c r="D109" s="12">
        <f>TIMEVALUE(VLOOKUP(Summary!A109,Efficieny,3,0))</f>
        <v>0.23307870370370373</v>
      </c>
      <c r="E109" s="12">
        <f>TIMEVALUE(VLOOKUP(Summary!A109,Break,9,0))</f>
        <v>3.7349537037037035E-2</v>
      </c>
      <c r="F109">
        <f t="shared" si="12"/>
        <v>66</v>
      </c>
      <c r="G109" s="18">
        <f t="shared" si="13"/>
        <v>0.61917030852521004</v>
      </c>
    </row>
    <row r="110" spans="1:7">
      <c r="A110" t="str">
        <f>Break!A110</f>
        <v>Del_Roohi Haider (1008620)</v>
      </c>
      <c r="B110" t="str">
        <f t="shared" si="10"/>
        <v xml:space="preserve">Roohi Haider </v>
      </c>
      <c r="C110" s="12">
        <f t="shared" si="11"/>
        <v>0.33346064814814813</v>
      </c>
      <c r="D110" s="12">
        <f>TIMEVALUE(VLOOKUP(Summary!A110,Efficieny,3,0))</f>
        <v>0.2029050925925926</v>
      </c>
      <c r="E110" s="12">
        <f>TIMEVALUE(VLOOKUP(Summary!A110,Break,9,0))</f>
        <v>4.8194444444444449E-2</v>
      </c>
      <c r="F110">
        <f t="shared" si="12"/>
        <v>67</v>
      </c>
      <c r="G110" s="18">
        <f t="shared" si="13"/>
        <v>0.55305265350039901</v>
      </c>
    </row>
    <row r="111" spans="1:7">
      <c r="A111" t="str">
        <f>Break!A111</f>
        <v>Del_Sajid Naqvi (1008621)</v>
      </c>
      <c r="B111" t="str">
        <f t="shared" si="10"/>
        <v xml:space="preserve">Sajid Naqvi </v>
      </c>
      <c r="C111" s="12">
        <f t="shared" si="11"/>
        <v>0.34430555555555559</v>
      </c>
      <c r="D111" s="12">
        <f>TIMEVALUE(VLOOKUP(Summary!A111,Efficieny,3,0))</f>
        <v>0.20876157407407406</v>
      </c>
      <c r="E111" s="12">
        <f>TIMEVALUE(VLOOKUP(Summary!A111,Break,9,0))</f>
        <v>4.7685185185185185E-2</v>
      </c>
      <c r="F111">
        <f t="shared" si="12"/>
        <v>68</v>
      </c>
      <c r="G111" s="18">
        <f t="shared" si="13"/>
        <v>0.56195374478956595</v>
      </c>
    </row>
    <row r="112" spans="1:7">
      <c r="A112" t="str">
        <f>Break!A112</f>
        <v>Del_Salim (1008622)</v>
      </c>
      <c r="B112" t="str">
        <f t="shared" si="10"/>
        <v xml:space="preserve">Salim </v>
      </c>
      <c r="C112" s="12">
        <f t="shared" si="11"/>
        <v>0.34439814814814818</v>
      </c>
      <c r="D112" s="12">
        <f>TIMEVALUE(VLOOKUP(Summary!A112,Efficieny,3,0))</f>
        <v>0.19284722222222225</v>
      </c>
      <c r="E112" s="12">
        <f>TIMEVALUE(VLOOKUP(Summary!A112,Break,9,0))</f>
        <v>8.2974537037037041E-2</v>
      </c>
      <c r="F112">
        <f t="shared" si="12"/>
        <v>69</v>
      </c>
      <c r="G112" s="18">
        <f t="shared" si="13"/>
        <v>0.48780077967468699</v>
      </c>
    </row>
    <row r="113" spans="1:7">
      <c r="A113" t="str">
        <f>Break!A113</f>
        <v>Del_Sanjay Hire (1008623)</v>
      </c>
      <c r="B113" t="str">
        <f t="shared" si="10"/>
        <v xml:space="preserve">Sanjay Hire </v>
      </c>
      <c r="C113" s="12">
        <f t="shared" si="11"/>
        <v>0.34435185185185185</v>
      </c>
      <c r="D113" s="12">
        <f>TIMEVALUE(VLOOKUP(Summary!A113,Efficieny,3,0))</f>
        <v>0.20849537037037036</v>
      </c>
      <c r="E113" s="12">
        <f>TIMEVALUE(VLOOKUP(Summary!A113,Break,9,0))</f>
        <v>4.8414351851851854E-2</v>
      </c>
      <c r="F113">
        <f t="shared" si="12"/>
        <v>70</v>
      </c>
      <c r="G113" s="18">
        <f t="shared" si="13"/>
        <v>0.55414762032804499</v>
      </c>
    </row>
    <row r="114" spans="1:7">
      <c r="A114" t="str">
        <f>Break!A114</f>
        <v>Del_Sanjiv Subherwal (1008624)</v>
      </c>
      <c r="B114" t="str">
        <f t="shared" si="10"/>
        <v xml:space="preserve">Sanjiv Subherwal </v>
      </c>
      <c r="C114" s="12">
        <f t="shared" si="11"/>
        <v>0.33491898148148147</v>
      </c>
      <c r="D114" s="12">
        <f>TIMEVALUE(VLOOKUP(Summary!A114,Efficieny,3,0))</f>
        <v>0.21258101851851852</v>
      </c>
      <c r="E114" s="12">
        <f>TIMEVALUE(VLOOKUP(Summary!A114,Break,9,0))</f>
        <v>4.8784722222222222E-2</v>
      </c>
      <c r="F114">
        <f t="shared" si="12"/>
        <v>71</v>
      </c>
      <c r="G114" s="18">
        <f t="shared" si="13"/>
        <v>0.58651553374572396</v>
      </c>
    </row>
    <row r="115" spans="1:7">
      <c r="A115" t="str">
        <f>Break!A115</f>
        <v>Del_Sanju Ramdas (1008625)</v>
      </c>
      <c r="B115" t="str">
        <f t="shared" si="10"/>
        <v xml:space="preserve">Sanju Ramdas </v>
      </c>
      <c r="C115" s="12">
        <f t="shared" si="11"/>
        <v>0.34442129629629631</v>
      </c>
      <c r="D115" s="12">
        <f>TIMEVALUE(VLOOKUP(Summary!A115,Efficieny,3,0))</f>
        <v>0.22203703703703703</v>
      </c>
      <c r="E115" s="12">
        <f>TIMEVALUE(VLOOKUP(Summary!A115,Break,9,0))</f>
        <v>5.1342592592592586E-2</v>
      </c>
      <c r="F115">
        <f t="shared" si="12"/>
        <v>72</v>
      </c>
      <c r="G115" s="18">
        <f t="shared" si="13"/>
        <v>0.58165871362322696</v>
      </c>
    </row>
    <row r="116" spans="1:7">
      <c r="A116" t="str">
        <f>Break!A116</f>
        <v>Del_Santosh Kumar (1008626)</v>
      </c>
      <c r="B116" t="str">
        <f t="shared" si="10"/>
        <v xml:space="preserve">Santosh Kumar </v>
      </c>
      <c r="C116" s="12">
        <f t="shared" si="11"/>
        <v>0.33370370370370367</v>
      </c>
      <c r="D116" s="12">
        <f>TIMEVALUE(VLOOKUP(Summary!A116,Efficieny,3,0))</f>
        <v>0.21053240740740742</v>
      </c>
      <c r="E116" s="12">
        <f>TIMEVALUE(VLOOKUP(Summary!A116,Break,9,0))</f>
        <v>4.8472222222222222E-2</v>
      </c>
      <c r="F116">
        <f t="shared" si="12"/>
        <v>73</v>
      </c>
      <c r="G116" s="18">
        <f t="shared" si="13"/>
        <v>0.59073251942286398</v>
      </c>
    </row>
    <row r="117" spans="1:7">
      <c r="A117" t="str">
        <f>Break!A117</f>
        <v>Del_Santosh Kumar (1008627)</v>
      </c>
      <c r="B117" t="str">
        <f t="shared" si="10"/>
        <v xml:space="preserve">Santosh Kumar </v>
      </c>
      <c r="C117" s="12">
        <f t="shared" si="11"/>
        <v>0.34518518518518521</v>
      </c>
      <c r="D117" s="12">
        <f>TIMEVALUE(VLOOKUP(Summary!A117,Efficieny,3,0))</f>
        <v>0.21524305555555556</v>
      </c>
      <c r="E117" s="12">
        <f>TIMEVALUE(VLOOKUP(Summary!A117,Break,9,0))</f>
        <v>4.9282407407407407E-2</v>
      </c>
      <c r="F117">
        <f t="shared" si="12"/>
        <v>74</v>
      </c>
      <c r="G117" s="18">
        <f t="shared" si="13"/>
        <v>0.58640692060085797</v>
      </c>
    </row>
    <row r="118" spans="1:7">
      <c r="A118" t="str">
        <f>Break!A118</f>
        <v>Del_Santosh Kumar (1008628)</v>
      </c>
      <c r="B118" t="str">
        <f t="shared" si="10"/>
        <v xml:space="preserve">Santosh Kumar </v>
      </c>
      <c r="C118" s="12">
        <f t="shared" si="11"/>
        <v>0.3354050925925926</v>
      </c>
      <c r="D118" s="12">
        <f>TIMEVALUE(VLOOKUP(Summary!A118,Efficieny,3,0))</f>
        <v>0.19744212962962962</v>
      </c>
      <c r="E118" s="12">
        <f>TIMEVALUE(VLOOKUP(Summary!A118,Break,9,0))</f>
        <v>5.0011574074074076E-2</v>
      </c>
      <c r="F118">
        <f t="shared" si="12"/>
        <v>75</v>
      </c>
      <c r="G118" s="18">
        <f t="shared" si="13"/>
        <v>0.54653369681493502</v>
      </c>
    </row>
    <row r="119" spans="1:7">
      <c r="A119" t="str">
        <f>Break!A119</f>
        <v>Del_Sapna Sharma (1008629)</v>
      </c>
      <c r="B119" t="str">
        <f t="shared" si="10"/>
        <v xml:space="preserve">Sapna Sharma </v>
      </c>
      <c r="C119" s="12">
        <f t="shared" si="11"/>
        <v>0.33627314814814818</v>
      </c>
      <c r="D119" s="12">
        <f>TIMEVALUE(VLOOKUP(Summary!A119,Efficieny,3,0))</f>
        <v>0.18991898148148148</v>
      </c>
      <c r="E119" s="12">
        <f>TIMEVALUE(VLOOKUP(Summary!A119,Break,9,0))</f>
        <v>6.4317129629629641E-2</v>
      </c>
      <c r="F119">
        <f t="shared" si="12"/>
        <v>76</v>
      </c>
      <c r="G119" s="18">
        <f t="shared" si="13"/>
        <v>0.53238796723342696</v>
      </c>
    </row>
    <row r="120" spans="1:7">
      <c r="A120" t="str">
        <f>Break!A120</f>
        <v>Del_Saroj Parita (1008630)</v>
      </c>
      <c r="B120" t="str">
        <f t="shared" si="10"/>
        <v xml:space="preserve">Saroj Parita </v>
      </c>
      <c r="C120" s="12">
        <f t="shared" si="11"/>
        <v>0.33471064814814816</v>
      </c>
      <c r="D120" s="12">
        <f>TIMEVALUE(VLOOKUP(Summary!A120,Efficieny,3,0))</f>
        <v>0.18868055555555555</v>
      </c>
      <c r="E120" s="12">
        <f>TIMEVALUE(VLOOKUP(Summary!A120,Break,9,0))</f>
        <v>7.3344907407407414E-2</v>
      </c>
      <c r="F120">
        <f t="shared" si="12"/>
        <v>77</v>
      </c>
      <c r="G120" s="18">
        <f t="shared" si="13"/>
        <v>0.47020989660776702</v>
      </c>
    </row>
    <row r="121" spans="1:7">
      <c r="A121" t="str">
        <f>Break!A121</f>
        <v>Del_Shailaja Kamal (1008631)</v>
      </c>
      <c r="B121" t="str">
        <f t="shared" si="10"/>
        <v xml:space="preserve">Shailaja Kamal </v>
      </c>
      <c r="C121" s="12">
        <f t="shared" si="11"/>
        <v>0.33974537037037034</v>
      </c>
      <c r="D121" s="12">
        <f>TIMEVALUE(VLOOKUP(Summary!A121,Efficieny,3,0))</f>
        <v>0.20261574074074074</v>
      </c>
      <c r="E121" s="12">
        <f>TIMEVALUE(VLOOKUP(Summary!A121,Break,9,0))</f>
        <v>4.7754629629629626E-2</v>
      </c>
      <c r="F121">
        <f t="shared" si="12"/>
        <v>78</v>
      </c>
      <c r="G121" s="18">
        <f t="shared" si="13"/>
        <v>0.54633099407235797</v>
      </c>
    </row>
    <row r="122" spans="1:7">
      <c r="A122" t="str">
        <f>Break!A122</f>
        <v>Del_Shailendra Barge (1008632)</v>
      </c>
      <c r="B122" t="str">
        <f t="shared" si="10"/>
        <v xml:space="preserve">Shailendra Barge </v>
      </c>
      <c r="C122" s="12">
        <f t="shared" si="11"/>
        <v>0.34557870370370369</v>
      </c>
      <c r="D122" s="12">
        <f>TIMEVALUE(VLOOKUP(Summary!A122,Efficieny,3,0))</f>
        <v>0.1431597222222222</v>
      </c>
      <c r="E122" s="12">
        <f>TIMEVALUE(VLOOKUP(Summary!A122,Break,9,0))</f>
        <v>0.15493055555555554</v>
      </c>
      <c r="F122">
        <f t="shared" si="12"/>
        <v>79</v>
      </c>
      <c r="G122" s="18">
        <f t="shared" si="13"/>
        <v>0.38820416638756799</v>
      </c>
    </row>
    <row r="123" spans="1:7">
      <c r="A123" t="str">
        <f>Break!A123</f>
        <v>Del_Shankar Attendant (1008633)</v>
      </c>
      <c r="B123" t="str">
        <f t="shared" si="10"/>
        <v xml:space="preserve">Shankar Attendant </v>
      </c>
      <c r="C123" s="12">
        <f t="shared" si="11"/>
        <v>0.33189814814814816</v>
      </c>
      <c r="D123" s="12">
        <f>TIMEVALUE(VLOOKUP(Summary!A123,Efficieny,3,0))</f>
        <v>0.1439236111111111</v>
      </c>
      <c r="E123" s="12">
        <f>TIMEVALUE(VLOOKUP(Summary!A123,Break,9,0))</f>
        <v>0.13547453703703705</v>
      </c>
      <c r="F123">
        <f t="shared" si="12"/>
        <v>80</v>
      </c>
      <c r="G123" s="18">
        <f t="shared" si="13"/>
        <v>0.40277584042404802</v>
      </c>
    </row>
    <row r="124" spans="1:7">
      <c r="A124" t="str">
        <f>Break!A124</f>
        <v>Del_Shashikant Tiwari (1008634)</v>
      </c>
      <c r="B124" t="str">
        <f t="shared" si="10"/>
        <v xml:space="preserve">Shashikant Tiwari </v>
      </c>
      <c r="C124" s="12">
        <f t="shared" si="11"/>
        <v>0.34369212962962964</v>
      </c>
      <c r="D124" s="12">
        <f>TIMEVALUE(VLOOKUP(Summary!A124,Efficieny,3,0))</f>
        <v>0.22164351851851852</v>
      </c>
      <c r="E124" s="12">
        <f>TIMEVALUE(VLOOKUP(Summary!A124,Break,9,0))</f>
        <v>4.8599537037037038E-2</v>
      </c>
      <c r="F124">
        <f t="shared" si="12"/>
        <v>81</v>
      </c>
      <c r="G124" s="18">
        <f t="shared" si="13"/>
        <v>0.54352584610203702</v>
      </c>
    </row>
    <row r="125" spans="1:7">
      <c r="A125" t="str">
        <f>Break!A125</f>
        <v>Del_Sheeba Joseph (1008635)</v>
      </c>
      <c r="B125" t="str">
        <f t="shared" si="10"/>
        <v xml:space="preserve">Sheeba Joseph </v>
      </c>
      <c r="C125" s="12">
        <f t="shared" si="11"/>
        <v>0.3548263888888889</v>
      </c>
      <c r="D125" s="12">
        <f>TIMEVALUE(VLOOKUP(Summary!A125,Efficieny,3,0))</f>
        <v>0.15355324074074075</v>
      </c>
      <c r="E125" s="12">
        <f>TIMEVALUE(VLOOKUP(Summary!A125,Break,9,0))</f>
        <v>3.8645833333333331E-2</v>
      </c>
      <c r="F125">
        <f t="shared" si="12"/>
        <v>82</v>
      </c>
      <c r="G125" s="18">
        <f t="shared" si="13"/>
        <v>0.28371986821932998</v>
      </c>
    </row>
    <row r="126" spans="1:7">
      <c r="A126" t="str">
        <f>Break!A126</f>
        <v>Del_Sheena Joseph (1008636)</v>
      </c>
      <c r="B126" t="str">
        <f t="shared" si="10"/>
        <v xml:space="preserve">Sheena Joseph </v>
      </c>
      <c r="C126" s="12">
        <f t="shared" si="11"/>
        <v>0.36775462962962963</v>
      </c>
      <c r="D126" s="12">
        <f>TIMEVALUE(VLOOKUP(Summary!A126,Efficieny,3,0))</f>
        <v>0.21557870370370369</v>
      </c>
      <c r="E126" s="12">
        <f>TIMEVALUE(VLOOKUP(Summary!A126,Break,9,0))</f>
        <v>7.048611111111111E-2</v>
      </c>
      <c r="F126">
        <f t="shared" si="12"/>
        <v>83</v>
      </c>
      <c r="G126" s="18">
        <f t="shared" si="13"/>
        <v>0.56196890539434796</v>
      </c>
    </row>
    <row r="127" spans="1:7">
      <c r="A127" t="str">
        <f>Break!A127</f>
        <v>Del_Shephali Jain (1008637)</v>
      </c>
      <c r="B127" t="str">
        <f t="shared" si="10"/>
        <v xml:space="preserve">Shephali Jain </v>
      </c>
      <c r="C127" s="12">
        <f t="shared" si="11"/>
        <v>0.35119212962962965</v>
      </c>
      <c r="D127" s="12">
        <f>TIMEVALUE(VLOOKUP(Summary!A127,Efficieny,3,0))</f>
        <v>0.15380787037037039</v>
      </c>
      <c r="E127" s="12">
        <f>TIMEVALUE(VLOOKUP(Summary!A127,Break,9,0))</f>
        <v>0.14153935185185185</v>
      </c>
      <c r="F127">
        <f t="shared" si="12"/>
        <v>84</v>
      </c>
      <c r="G127" s="18">
        <f t="shared" si="13"/>
        <v>0.40332201825791802</v>
      </c>
    </row>
    <row r="128" spans="1:7">
      <c r="A128" t="str">
        <f>Break!A128</f>
        <v>Del_Shivji Prasad (1008638)</v>
      </c>
      <c r="B128" t="str">
        <f t="shared" si="10"/>
        <v xml:space="preserve">Shivji Prasad </v>
      </c>
      <c r="C128" s="12">
        <f t="shared" si="11"/>
        <v>0.34143518518518517</v>
      </c>
      <c r="D128" s="12">
        <f>TIMEVALUE(VLOOKUP(Summary!A128,Efficieny,3,0))</f>
        <v>0.17545138888888889</v>
      </c>
      <c r="E128" s="12">
        <f>TIMEVALUE(VLOOKUP(Summary!A128,Break,9,0))</f>
        <v>9.5694444444444457E-2</v>
      </c>
      <c r="F128">
        <f t="shared" si="12"/>
        <v>85</v>
      </c>
      <c r="G128" s="18">
        <f t="shared" si="13"/>
        <v>0.43796610169491501</v>
      </c>
    </row>
    <row r="129" spans="1:7">
      <c r="A129" t="str">
        <f>Break!A129</f>
        <v>Del_Shubhanjali Joshi (1008639)</v>
      </c>
      <c r="B129" t="str">
        <f t="shared" si="10"/>
        <v xml:space="preserve">Shubhanjali Joshi </v>
      </c>
      <c r="C129" s="12">
        <f t="shared" si="11"/>
        <v>0.34533564814814816</v>
      </c>
      <c r="D129" s="12">
        <f>TIMEVALUE(VLOOKUP(Summary!A129,Efficieny,3,0))</f>
        <v>0.20476851851851852</v>
      </c>
      <c r="E129" s="12">
        <f>TIMEVALUE(VLOOKUP(Summary!A129,Break,9,0))</f>
        <v>5.5231481481481486E-2</v>
      </c>
      <c r="F129">
        <f t="shared" si="12"/>
        <v>86</v>
      </c>
      <c r="G129" s="18">
        <f t="shared" si="13"/>
        <v>0.55581995508931903</v>
      </c>
    </row>
    <row r="130" spans="1:7">
      <c r="A130" t="str">
        <f>Break!A130</f>
        <v>Del_Shyamal Malakar (1008640)</v>
      </c>
      <c r="B130" t="str">
        <f t="shared" si="10"/>
        <v xml:space="preserve">Shyamal Malakar </v>
      </c>
      <c r="C130" s="12">
        <f t="shared" ref="C130:C150" si="14">TIMEVALUE(VLOOKUP(A130,Efficieny,2,0))</f>
        <v>0.34416666666666668</v>
      </c>
      <c r="D130" s="12">
        <f>TIMEVALUE(VLOOKUP(Summary!A130,Efficieny,3,0))</f>
        <v>0.12054398148148149</v>
      </c>
      <c r="E130" s="12">
        <f>TIMEVALUE(VLOOKUP(Summary!A130,Break,9,0))</f>
        <v>0.19140046296296295</v>
      </c>
      <c r="F130">
        <f t="shared" ref="F130:F150" si="15">VLOOKUP(A130,Over,2,0)</f>
        <v>87</v>
      </c>
      <c r="G130" s="18">
        <f t="shared" ref="G130:G150" si="16">VLOOKUP(A130,Efficieny,6,0)</f>
        <v>0.326035781544256</v>
      </c>
    </row>
    <row r="131" spans="1:7">
      <c r="A131" t="str">
        <f>Break!A131</f>
        <v>Del_Sneh Khan (1008641)</v>
      </c>
      <c r="B131" t="str">
        <f t="shared" ref="B131:B150" si="17">MID(A131,FIND("_",A131,1)+1,FIND("(",A131,1)- FIND("_",A131,2)-1)</f>
        <v xml:space="preserve">Sneh Khan </v>
      </c>
      <c r="C131" s="12">
        <f t="shared" si="14"/>
        <v>0.33975694444444443</v>
      </c>
      <c r="D131" s="12">
        <f>TIMEVALUE(VLOOKUP(Summary!A131,Efficieny,3,0))</f>
        <v>0.21278935185185185</v>
      </c>
      <c r="E131" s="12">
        <f>TIMEVALUE(VLOOKUP(Summary!A131,Break,9,0))</f>
        <v>4.8506944444444443E-2</v>
      </c>
      <c r="F131">
        <f t="shared" si="15"/>
        <v>88</v>
      </c>
      <c r="G131" s="18">
        <f t="shared" si="16"/>
        <v>0.57404190086867701</v>
      </c>
    </row>
    <row r="132" spans="1:7">
      <c r="A132" t="str">
        <f>Break!A132</f>
        <v>Del_Sonaram Munda (1008642)</v>
      </c>
      <c r="B132" t="str">
        <f t="shared" si="17"/>
        <v xml:space="preserve">Sonaram Munda </v>
      </c>
      <c r="C132" s="12">
        <f t="shared" si="14"/>
        <v>0.33380787037037035</v>
      </c>
      <c r="D132" s="12">
        <f>TIMEVALUE(VLOOKUP(Summary!A132,Efficieny,3,0))</f>
        <v>0.1744212962962963</v>
      </c>
      <c r="E132" s="12">
        <f>TIMEVALUE(VLOOKUP(Summary!A132,Break,9,0))</f>
        <v>8.1423611111111113E-2</v>
      </c>
      <c r="F132">
        <f t="shared" si="15"/>
        <v>89</v>
      </c>
      <c r="G132" s="18">
        <f t="shared" si="16"/>
        <v>0.45359037481363301</v>
      </c>
    </row>
    <row r="133" spans="1:7">
      <c r="A133" t="str">
        <f>Break!A133</f>
        <v>Del_Sudama Kumar (1008643)</v>
      </c>
      <c r="B133" t="str">
        <f t="shared" si="17"/>
        <v xml:space="preserve">Sudama Kumar </v>
      </c>
      <c r="C133" s="12">
        <f t="shared" si="14"/>
        <v>0.34012731481481479</v>
      </c>
      <c r="D133" s="12">
        <f>TIMEVALUE(VLOOKUP(Summary!A133,Efficieny,3,0))</f>
        <v>0.11028935185185185</v>
      </c>
      <c r="E133" s="12">
        <f>TIMEVALUE(VLOOKUP(Summary!A133,Break,9,0))</f>
        <v>0.19189814814814818</v>
      </c>
      <c r="F133">
        <f t="shared" si="15"/>
        <v>90</v>
      </c>
      <c r="G133" s="18">
        <f t="shared" si="16"/>
        <v>0.29689998979140397</v>
      </c>
    </row>
    <row r="134" spans="1:7">
      <c r="A134" t="str">
        <f>Break!A134</f>
        <v>Del_Sudhir Kumar (1008644)</v>
      </c>
      <c r="B134" t="str">
        <f t="shared" si="17"/>
        <v xml:space="preserve">Sudhir Kumar </v>
      </c>
      <c r="C134" s="12">
        <f t="shared" si="14"/>
        <v>0.33354166666666668</v>
      </c>
      <c r="D134" s="12">
        <f>TIMEVALUE(VLOOKUP(Summary!A134,Efficieny,3,0))</f>
        <v>0.19138888888888891</v>
      </c>
      <c r="E134" s="12">
        <f>TIMEVALUE(VLOOKUP(Summary!A134,Break,9,0))</f>
        <v>5.1666666666666666E-2</v>
      </c>
      <c r="F134">
        <f t="shared" si="15"/>
        <v>91</v>
      </c>
      <c r="G134" s="18">
        <f t="shared" si="16"/>
        <v>0.55729058227496697</v>
      </c>
    </row>
    <row r="135" spans="1:7">
      <c r="A135" t="str">
        <f>Break!A135</f>
        <v>Del_Sunil Kumar (1008645)</v>
      </c>
      <c r="B135" t="str">
        <f t="shared" si="17"/>
        <v xml:space="preserve">Sunil Kumar </v>
      </c>
      <c r="C135" s="12">
        <f t="shared" si="14"/>
        <v>0.3357175925925926</v>
      </c>
      <c r="D135" s="12">
        <f>TIMEVALUE(VLOOKUP(Summary!A135,Efficieny,3,0))</f>
        <v>0.12403935185185185</v>
      </c>
      <c r="E135" s="12">
        <f>TIMEVALUE(VLOOKUP(Summary!A135,Break,9,0))</f>
        <v>0.1645486111111111</v>
      </c>
      <c r="F135">
        <f t="shared" si="15"/>
        <v>92</v>
      </c>
      <c r="G135" s="18">
        <f t="shared" si="16"/>
        <v>0.33279321519685601</v>
      </c>
    </row>
    <row r="136" spans="1:7">
      <c r="A136" t="str">
        <f>Break!A136</f>
        <v>Del_Sunil Kumar (1008646)</v>
      </c>
      <c r="B136" t="str">
        <f t="shared" si="17"/>
        <v xml:space="preserve">Sunil Kumar </v>
      </c>
      <c r="C136" s="12">
        <f t="shared" si="14"/>
        <v>0.33687500000000004</v>
      </c>
      <c r="D136" s="12">
        <f>TIMEVALUE(VLOOKUP(Summary!A136,Efficieny,3,0))</f>
        <v>0.17017361111111109</v>
      </c>
      <c r="E136" s="12">
        <f>TIMEVALUE(VLOOKUP(Summary!A136,Break,9,0))</f>
        <v>9.5034722222222215E-2</v>
      </c>
      <c r="F136">
        <f t="shared" si="15"/>
        <v>93</v>
      </c>
      <c r="G136" s="18">
        <f t="shared" si="16"/>
        <v>0.472308115165258</v>
      </c>
    </row>
    <row r="137" spans="1:7">
      <c r="A137" t="str">
        <f>Break!A137</f>
        <v>Del_Sunita Chawla (1008647)</v>
      </c>
      <c r="B137" t="str">
        <f t="shared" si="17"/>
        <v xml:space="preserve">Sunita Chawla </v>
      </c>
      <c r="C137" s="12">
        <f t="shared" si="14"/>
        <v>0.33709490740740744</v>
      </c>
      <c r="D137" s="12">
        <f>TIMEVALUE(VLOOKUP(Summary!A137,Efficieny,3,0))</f>
        <v>0.18885416666666666</v>
      </c>
      <c r="E137" s="12">
        <f>TIMEVALUE(VLOOKUP(Summary!A137,Break,9,0))</f>
        <v>8.7997685185185193E-2</v>
      </c>
      <c r="F137">
        <f t="shared" si="15"/>
        <v>94</v>
      </c>
      <c r="G137" s="18">
        <f t="shared" si="16"/>
        <v>0.51110729613733896</v>
      </c>
    </row>
    <row r="138" spans="1:7">
      <c r="A138" t="str">
        <f>Break!A138</f>
        <v>Del_Sunita Madnani (1008648)</v>
      </c>
      <c r="B138" t="str">
        <f t="shared" si="17"/>
        <v xml:space="preserve">Sunita Madnani </v>
      </c>
      <c r="C138" s="12">
        <f t="shared" si="14"/>
        <v>0.34307870370370369</v>
      </c>
      <c r="D138" s="12">
        <f>TIMEVALUE(VLOOKUP(Summary!A138,Efficieny,3,0))</f>
        <v>0.22166666666666668</v>
      </c>
      <c r="E138" s="12">
        <f>TIMEVALUE(VLOOKUP(Summary!A138,Break,9,0))</f>
        <v>4.7395833333333331E-2</v>
      </c>
      <c r="F138">
        <f t="shared" si="15"/>
        <v>95</v>
      </c>
      <c r="G138" s="18">
        <f t="shared" si="16"/>
        <v>0.58886040078267299</v>
      </c>
    </row>
    <row r="139" spans="1:7">
      <c r="A139" t="str">
        <f>Break!A139</f>
        <v>Del_Surendra Kumar (1008649)</v>
      </c>
      <c r="B139" t="str">
        <f t="shared" si="17"/>
        <v xml:space="preserve">Surendra Kumar </v>
      </c>
      <c r="C139" s="12">
        <f t="shared" si="14"/>
        <v>0.31192129629629628</v>
      </c>
      <c r="D139" s="12">
        <f>TIMEVALUE(VLOOKUP(Summary!A139,Efficieny,3,0))</f>
        <v>0.12112268518518519</v>
      </c>
      <c r="E139" s="12">
        <f>TIMEVALUE(VLOOKUP(Summary!A139,Break,9,0))</f>
        <v>0.1575462962962963</v>
      </c>
      <c r="F139">
        <f t="shared" si="15"/>
        <v>96</v>
      </c>
      <c r="G139" s="18">
        <f t="shared" si="16"/>
        <v>0.34289424860853401</v>
      </c>
    </row>
    <row r="140" spans="1:7">
      <c r="A140" t="str">
        <f>Break!A140</f>
        <v>Del_Surendranath Thakur (1008650)</v>
      </c>
      <c r="B140" t="str">
        <f t="shared" si="17"/>
        <v xml:space="preserve">Surendranath Thakur </v>
      </c>
      <c r="C140" s="12">
        <f t="shared" si="14"/>
        <v>0.35686342592592596</v>
      </c>
      <c r="D140" s="12">
        <f>TIMEVALUE(VLOOKUP(Summary!A140,Efficieny,3,0))</f>
        <v>0.19224537037037037</v>
      </c>
      <c r="E140" s="12">
        <f>TIMEVALUE(VLOOKUP(Summary!A140,Break,9,0))</f>
        <v>9.5196759259259259E-2</v>
      </c>
      <c r="F140">
        <f t="shared" si="15"/>
        <v>97</v>
      </c>
      <c r="G140" s="18">
        <f t="shared" si="16"/>
        <v>0.497486459313074</v>
      </c>
    </row>
    <row r="141" spans="1:7">
      <c r="A141" t="str">
        <f>Break!A141</f>
        <v>Del_Sushma Khandelwal (1008651)</v>
      </c>
      <c r="B141" t="str">
        <f t="shared" si="17"/>
        <v xml:space="preserve">Sushma Khandelwal </v>
      </c>
      <c r="C141" s="12">
        <f t="shared" si="14"/>
        <v>0.34392361111111108</v>
      </c>
      <c r="D141" s="12">
        <f>TIMEVALUE(VLOOKUP(Summary!A141,Efficieny,3,0))</f>
        <v>0.20146990740740742</v>
      </c>
      <c r="E141" s="12">
        <f>TIMEVALUE(VLOOKUP(Summary!A141,Break,9,0))</f>
        <v>4.8854166666666664E-2</v>
      </c>
      <c r="F141">
        <f t="shared" si="15"/>
        <v>98</v>
      </c>
      <c r="G141" s="18">
        <f t="shared" si="16"/>
        <v>0.52431431936732298</v>
      </c>
    </row>
    <row r="142" spans="1:7">
      <c r="A142" t="str">
        <f>Break!A142</f>
        <v>Del_Swarnlata Borse (1008652)</v>
      </c>
      <c r="B142" t="str">
        <f t="shared" si="17"/>
        <v xml:space="preserve">Swarnlata Borse </v>
      </c>
      <c r="C142" s="12">
        <f t="shared" si="14"/>
        <v>0.34658564814814818</v>
      </c>
      <c r="D142" s="12">
        <f>TIMEVALUE(VLOOKUP(Summary!A142,Efficieny,3,0))</f>
        <v>0.12475694444444445</v>
      </c>
      <c r="E142" s="12">
        <f>TIMEVALUE(VLOOKUP(Summary!A142,Break,9,0))</f>
        <v>0.18931712962962963</v>
      </c>
      <c r="F142">
        <f t="shared" si="15"/>
        <v>99</v>
      </c>
      <c r="G142" s="18">
        <f t="shared" si="16"/>
        <v>0.31066956086157999</v>
      </c>
    </row>
    <row r="143" spans="1:7">
      <c r="A143" t="str">
        <f>Break!A143</f>
        <v>Del_Syed Naved (1008653)</v>
      </c>
      <c r="B143" t="str">
        <f t="shared" si="17"/>
        <v xml:space="preserve">Syed Naved </v>
      </c>
      <c r="C143" s="12">
        <f t="shared" si="14"/>
        <v>0.34281249999999996</v>
      </c>
      <c r="D143" s="12">
        <f>TIMEVALUE(VLOOKUP(Summary!A143,Efficieny,3,0))</f>
        <v>0.22505787037037037</v>
      </c>
      <c r="E143" s="12">
        <f>TIMEVALUE(VLOOKUP(Summary!A143,Break,9,0))</f>
        <v>5.1898148148148145E-2</v>
      </c>
      <c r="F143">
        <f t="shared" si="15"/>
        <v>100</v>
      </c>
      <c r="G143" s="18">
        <f t="shared" si="16"/>
        <v>0.58462473412336702</v>
      </c>
    </row>
    <row r="144" spans="1:7">
      <c r="A144" t="str">
        <f>Break!A144</f>
        <v>Del_Syed Saqib (1008654)</v>
      </c>
      <c r="B144" t="str">
        <f t="shared" si="17"/>
        <v xml:space="preserve">Syed Saqib </v>
      </c>
      <c r="C144" s="12">
        <f t="shared" si="14"/>
        <v>0.35055555555555556</v>
      </c>
      <c r="D144" s="12">
        <f>TIMEVALUE(VLOOKUP(Summary!A144,Efficieny,3,0))</f>
        <v>0.11953703703703704</v>
      </c>
      <c r="E144" s="12">
        <f>TIMEVALUE(VLOOKUP(Summary!A144,Break,9,0))</f>
        <v>0.21081018518518521</v>
      </c>
      <c r="F144">
        <f t="shared" si="15"/>
        <v>101</v>
      </c>
      <c r="G144" s="18">
        <f t="shared" si="16"/>
        <v>0.31685816164817698</v>
      </c>
    </row>
    <row r="145" spans="1:7">
      <c r="A145" t="str">
        <f>Break!A145</f>
        <v>Del_Syed Sohail (1008655)</v>
      </c>
      <c r="B145" t="str">
        <f t="shared" si="17"/>
        <v xml:space="preserve">Syed Sohail </v>
      </c>
      <c r="C145" s="12">
        <f t="shared" si="14"/>
        <v>0.34575231481481478</v>
      </c>
      <c r="D145" s="12">
        <f>TIMEVALUE(VLOOKUP(Summary!A145,Efficieny,3,0))</f>
        <v>0.20268518518518519</v>
      </c>
      <c r="E145" s="12">
        <f>TIMEVALUE(VLOOKUP(Summary!A145,Break,9,0))</f>
        <v>5.004629629629629E-2</v>
      </c>
      <c r="F145">
        <f t="shared" si="15"/>
        <v>102</v>
      </c>
      <c r="G145" s="18">
        <f t="shared" si="16"/>
        <v>0.56375322197301903</v>
      </c>
    </row>
    <row r="146" spans="1:7">
      <c r="A146" t="str">
        <f>Break!A146</f>
        <v>Del_System Operator (1008656)</v>
      </c>
      <c r="B146" t="str">
        <f t="shared" si="17"/>
        <v xml:space="preserve">System Operator </v>
      </c>
      <c r="C146" s="12">
        <f t="shared" si="14"/>
        <v>0.35479166666666667</v>
      </c>
      <c r="D146" s="12">
        <f>TIMEVALUE(VLOOKUP(Summary!A146,Efficieny,3,0))</f>
        <v>0.21916666666666665</v>
      </c>
      <c r="E146" s="12">
        <f>TIMEVALUE(VLOOKUP(Summary!A146,Break,9,0))</f>
        <v>3.8946759259259257E-2</v>
      </c>
      <c r="F146">
        <f t="shared" si="15"/>
        <v>103</v>
      </c>
      <c r="G146" s="18">
        <f t="shared" si="16"/>
        <v>0.54779147908918902</v>
      </c>
    </row>
    <row r="147" spans="1:7">
      <c r="A147" t="str">
        <f>Break!A147</f>
        <v>Del_Tahira Qureshi (1008657)</v>
      </c>
      <c r="B147" t="str">
        <f t="shared" si="17"/>
        <v xml:space="preserve">Tahira Qureshi </v>
      </c>
      <c r="C147" s="12">
        <f t="shared" si="14"/>
        <v>0.36542824074074076</v>
      </c>
      <c r="D147" s="12">
        <f>TIMEVALUE(VLOOKUP(Summary!A147,Efficieny,3,0))</f>
        <v>0.15059027777777778</v>
      </c>
      <c r="E147" s="12">
        <f>TIMEVALUE(VLOOKUP(Summary!A147,Break,9,0))</f>
        <v>0.16840277777777779</v>
      </c>
      <c r="F147">
        <f t="shared" si="15"/>
        <v>104</v>
      </c>
      <c r="G147" s="18">
        <f t="shared" si="16"/>
        <v>0.37965983593576802</v>
      </c>
    </row>
    <row r="148" spans="1:7">
      <c r="A148" t="str">
        <f>Break!A148</f>
        <v>Del_Tapas Chakraborty (1008658)</v>
      </c>
      <c r="B148" t="str">
        <f t="shared" si="17"/>
        <v xml:space="preserve">Tapas Chakraborty </v>
      </c>
      <c r="C148" s="12">
        <f t="shared" si="14"/>
        <v>0.34370370370370368</v>
      </c>
      <c r="D148" s="12">
        <f>TIMEVALUE(VLOOKUP(Summary!A148,Efficieny,3,0))</f>
        <v>0.21891203703703702</v>
      </c>
      <c r="E148" s="12">
        <f>TIMEVALUE(VLOOKUP(Summary!A148,Break,9,0))</f>
        <v>5.0127314814814812E-2</v>
      </c>
      <c r="F148">
        <f t="shared" si="15"/>
        <v>105</v>
      </c>
      <c r="G148" s="18">
        <f t="shared" si="16"/>
        <v>0.56529498922413801</v>
      </c>
    </row>
    <row r="149" spans="1:7">
      <c r="A149" t="str">
        <f>Break!A149</f>
        <v>Del_Tariq Akhlaq (1008659)</v>
      </c>
      <c r="B149" t="str">
        <f t="shared" si="17"/>
        <v xml:space="preserve">Tariq Akhlaq </v>
      </c>
      <c r="C149" s="12">
        <f t="shared" si="14"/>
        <v>0.20827546296296295</v>
      </c>
      <c r="D149" s="12">
        <f>TIMEVALUE(VLOOKUP(Summary!A149,Efficieny,3,0))</f>
        <v>0.1310300925925926</v>
      </c>
      <c r="E149" s="12">
        <f>TIMEVALUE(VLOOKUP(Summary!A149,Break,9,0))</f>
        <v>1.045138888888889E-2</v>
      </c>
      <c r="F149">
        <f t="shared" si="15"/>
        <v>106</v>
      </c>
      <c r="G149" s="18">
        <f t="shared" si="16"/>
        <v>0.60261183662128404</v>
      </c>
    </row>
    <row r="150" spans="1:7">
      <c r="A150" t="str">
        <f>Break!A150</f>
        <v>Del_Tasneem Khan (1008660)</v>
      </c>
      <c r="B150" t="str">
        <f t="shared" si="17"/>
        <v xml:space="preserve">Tasneem Khan </v>
      </c>
      <c r="C150" s="12">
        <f t="shared" si="14"/>
        <v>0.35688657407407409</v>
      </c>
      <c r="D150" s="12">
        <f>TIMEVALUE(VLOOKUP(Summary!A150,Efficieny,3,0))</f>
        <v>0.19362268518518519</v>
      </c>
      <c r="E150" s="12">
        <f>TIMEVALUE(VLOOKUP(Summary!A150,Break,9,0))</f>
        <v>9.5034722222222215E-2</v>
      </c>
      <c r="F150">
        <f t="shared" si="15"/>
        <v>107</v>
      </c>
      <c r="G150" s="18">
        <f t="shared" si="16"/>
        <v>0.49813523593319298</v>
      </c>
    </row>
    <row r="151" spans="1:7">
      <c r="C151" s="12"/>
      <c r="D151" s="12"/>
    </row>
    <row r="152" spans="1:7">
      <c r="C152" s="12"/>
      <c r="D152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9"/>
  <sheetViews>
    <sheetView zoomScaleNormal="100" workbookViewId="0">
      <selection activeCell="I11" sqref="I11"/>
    </sheetView>
  </sheetViews>
  <sheetFormatPr defaultRowHeight="14.4"/>
  <cols>
    <col min="1" max="1" width="13.33203125" bestFit="1" customWidth="1"/>
    <col min="2" max="2" width="31.88671875" bestFit="1" customWidth="1"/>
    <col min="3" max="3" width="5.33203125" customWidth="1"/>
    <col min="4" max="4" width="19.33203125" customWidth="1"/>
    <col min="5" max="5" width="28.109375" customWidth="1"/>
    <col min="9" max="9" width="15.5546875" bestFit="1" customWidth="1"/>
  </cols>
  <sheetData>
    <row r="1" spans="1:5">
      <c r="A1" s="15"/>
      <c r="B1" s="15"/>
      <c r="C1" s="16">
        <v>5</v>
      </c>
      <c r="D1" s="15"/>
      <c r="E1" s="15"/>
    </row>
    <row r="2" spans="1:5">
      <c r="A2" s="15"/>
      <c r="B2" s="15"/>
      <c r="C2" s="16">
        <v>5</v>
      </c>
      <c r="D2" s="15"/>
      <c r="E2" s="15"/>
    </row>
    <row r="3" spans="1:5" ht="18" customHeight="1">
      <c r="A3" s="25" t="s">
        <v>1010</v>
      </c>
      <c r="B3" s="25"/>
      <c r="D3" s="25" t="s">
        <v>1010</v>
      </c>
      <c r="E3" s="25"/>
    </row>
    <row r="4" spans="1:5">
      <c r="A4" s="13" t="s">
        <v>1003</v>
      </c>
      <c r="B4" t="s">
        <v>1009</v>
      </c>
      <c r="D4" s="13" t="s">
        <v>1003</v>
      </c>
      <c r="E4" t="s">
        <v>1011</v>
      </c>
    </row>
    <row r="5" spans="1:5">
      <c r="A5" s="14" t="s">
        <v>1004</v>
      </c>
      <c r="B5" s="12">
        <v>1.3668402777777777</v>
      </c>
      <c r="D5" s="14" t="s">
        <v>1004</v>
      </c>
      <c r="E5" s="17">
        <v>2.0905948641136138</v>
      </c>
    </row>
    <row r="6" spans="1:5">
      <c r="A6" s="14" t="s">
        <v>1005</v>
      </c>
      <c r="B6" s="12">
        <v>0.66396990740740736</v>
      </c>
      <c r="D6" s="14" t="s">
        <v>1005</v>
      </c>
      <c r="E6" s="17">
        <v>1.064298009533315</v>
      </c>
    </row>
    <row r="7" spans="1:5">
      <c r="A7" s="14" t="s">
        <v>1006</v>
      </c>
      <c r="B7" s="12">
        <v>0.67937500000000006</v>
      </c>
      <c r="D7" s="14" t="s">
        <v>1006</v>
      </c>
      <c r="E7" s="17">
        <v>1.122824596941316</v>
      </c>
    </row>
    <row r="8" spans="1:5">
      <c r="A8" s="14" t="s">
        <v>1007</v>
      </c>
      <c r="B8" s="12">
        <v>1.0142939814814815</v>
      </c>
      <c r="D8" s="14" t="s">
        <v>1012</v>
      </c>
      <c r="E8" s="17">
        <v>1.7236731368386569</v>
      </c>
    </row>
    <row r="9" spans="1:5">
      <c r="A9" s="14" t="s">
        <v>1008</v>
      </c>
      <c r="B9" s="12">
        <v>0.67259259259259263</v>
      </c>
      <c r="D9" s="14" t="s">
        <v>1008</v>
      </c>
      <c r="E9" s="17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60960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556260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1668780</xdr:colOff>
                    <xdr:row>9</xdr:row>
                    <xdr:rowOff>76200</xdr:rowOff>
                  </from>
                  <to>
                    <xdr:col>4</xdr:col>
                    <xdr:colOff>1813560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Break</vt:lpstr>
      <vt:lpstr>Efficiency</vt:lpstr>
      <vt:lpstr>OverAll Performance</vt:lpstr>
      <vt:lpstr>Dashboard2</vt:lpstr>
      <vt:lpstr>Summary</vt:lpstr>
      <vt:lpstr>Dashboard</vt:lpstr>
      <vt:lpstr>BData</vt:lpstr>
      <vt:lpstr>Break</vt:lpstr>
      <vt:lpstr>EData</vt:lpstr>
      <vt:lpstr>Efficieny</vt:lpstr>
      <vt:lpstr>Over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Afhaam Sameed</cp:lastModifiedBy>
  <dcterms:created xsi:type="dcterms:W3CDTF">2022-05-04T01:32:35Z</dcterms:created>
  <dcterms:modified xsi:type="dcterms:W3CDTF">2026-01-07T03:51:14Z</dcterms:modified>
</cp:coreProperties>
</file>